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ventory,supply chain,mis\inventory value\Inventory Data Table\"/>
    </mc:Choice>
  </mc:AlternateContent>
  <xr:revisionPtr revIDLastSave="0" documentId="13_ncr:1_{274D1390-50FA-42B8-ADA8-DEC8A1E020B0}" xr6:coauthVersionLast="47" xr6:coauthVersionMax="47" xr10:uidLastSave="{00000000-0000-0000-0000-000000000000}"/>
  <bookViews>
    <workbookView xWindow="-108" yWindow="-108" windowWidth="23256" windowHeight="12576" activeTab="1" xr2:uid="{184ECFCD-6343-49AA-BF59-5464F93AB363}"/>
  </bookViews>
  <sheets>
    <sheet name="Table1" sheetId="2" r:id="rId1"/>
    <sheet name="Table1__2" sheetId="4" r:id="rId2"/>
    <sheet name="Table1 (2)" sheetId="3" r:id="rId3"/>
    <sheet name="Sheet1" sheetId="1" r:id="rId4"/>
  </sheets>
  <definedNames>
    <definedName name="ExternalData_1" localSheetId="0" hidden="1">Table1!$A$1:$J$101</definedName>
    <definedName name="ExternalData_1" localSheetId="2" hidden="1">'Table1 (2)'!$A$1:$I$101</definedName>
    <definedName name="ExternalData_2" localSheetId="1" hidden="1">Table1__2!$A$1:$N$101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2" i="4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0EBBD-6407-4679-B6CD-A662E0B7F33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30B22DC-E78A-47D0-929E-8F729F7A1AB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931E91F0-DC3B-4E07-86AD-B65F023DD961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<sst xmlns="http://schemas.openxmlformats.org/spreadsheetml/2006/main" count="1442" uniqueCount="227">
  <si>
    <t>Inventory Data Table</t>
  </si>
  <si>
    <t>Product ID</t>
  </si>
  <si>
    <t>Product Name</t>
  </si>
  <si>
    <t>Category</t>
  </si>
  <si>
    <t>Opening Stock</t>
  </si>
  <si>
    <t>Stock in Stock</t>
  </si>
  <si>
    <t>Outunit Price</t>
  </si>
  <si>
    <t>Reorder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</si>
  <si>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</si>
  <si>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</si>
  <si>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</si>
  <si>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</si>
  <si>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</si>
  <si>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</si>
  <si>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</si>
  <si>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</si>
  <si>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</si>
  <si>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</si>
  <si>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</si>
  <si>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</si>
  <si>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</si>
  <si>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</si>
  <si>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</si>
  <si>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</si>
  <si>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</si>
  <si>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</si>
  <si>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</si>
  <si>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</si>
  <si>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</si>
  <si>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</si>
  <si>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</si>
  <si>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</si>
  <si>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</si>
  <si>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P-1026</t>
  </si>
  <si>
    <t>P-1027</t>
  </si>
  <si>
    <t>P-1028</t>
  </si>
  <si>
    <t>P-1029</t>
  </si>
  <si>
    <t>P-1030</t>
  </si>
  <si>
    <t>Raw Material</t>
  </si>
  <si>
    <t>Polyester Thread</t>
  </si>
  <si>
    <t>Accessories</t>
  </si>
  <si>
    <t>Tools</t>
  </si>
  <si>
    <t>Packing</t>
  </si>
  <si>
    <t>Cotton Fabric</t>
  </si>
  <si>
    <t>Metal Zippers</t>
  </si>
  <si>
    <t>Trim</t>
  </si>
  <si>
    <t>Plastic Buttons</t>
  </si>
  <si>
    <t>Denim Roll</t>
  </si>
  <si>
    <t>Elastic Band</t>
  </si>
  <si>
    <t>Sewing Needles</t>
  </si>
  <si>
    <t>Pattern Paper</t>
  </si>
  <si>
    <t>Label Tags</t>
  </si>
  <si>
    <t>Poly Bags</t>
  </si>
  <si>
    <t>Silk Fabric</t>
  </si>
  <si>
    <t>Nylon Yarn</t>
  </si>
  <si>
    <t>Snap Fasteners</t>
  </si>
  <si>
    <t>Shoulder Pads</t>
  </si>
  <si>
    <t>Interlining</t>
  </si>
  <si>
    <t>Cotton Twill</t>
  </si>
  <si>
    <t>Velcro Tape</t>
  </si>
  <si>
    <t>Carton Boxes</t>
  </si>
  <si>
    <t>Rivets</t>
  </si>
  <si>
    <t>Lining Fabric</t>
  </si>
  <si>
    <t>Spandex Yarn</t>
  </si>
  <si>
    <t>Drawstrings</t>
  </si>
  <si>
    <t>Hooks &amp; Eyes</t>
  </si>
  <si>
    <t>Tissue Paper</t>
  </si>
  <si>
    <t>Woolen Yarn</t>
  </si>
  <si>
    <t>Eyelets</t>
  </si>
  <si>
    <t>Shoulder Tape</t>
  </si>
  <si>
    <t>Hangers</t>
  </si>
  <si>
    <t>Sequins</t>
  </si>
  <si>
    <t>Canvas Fabric</t>
  </si>
  <si>
    <t>P-1031</t>
  </si>
  <si>
    <t>Satin Ribbon</t>
  </si>
  <si>
    <t>P-1032</t>
  </si>
  <si>
    <t>Buckles</t>
  </si>
  <si>
    <t>P-1033</t>
  </si>
  <si>
    <t>Glue Sticks</t>
  </si>
  <si>
    <t>P-1034</t>
  </si>
  <si>
    <t>Tape Measures</t>
  </si>
  <si>
    <t>P-1035</t>
  </si>
  <si>
    <t>Chalk Markers</t>
  </si>
  <si>
    <t>P-1036</t>
  </si>
  <si>
    <t>Lace Trim</t>
  </si>
  <si>
    <t>P-1037</t>
  </si>
  <si>
    <t>Pins &amp; Clips</t>
  </si>
  <si>
    <t>P-1038</t>
  </si>
  <si>
    <t>Shipping Labels</t>
  </si>
  <si>
    <t>P-1039</t>
  </si>
  <si>
    <t>Twill Tape</t>
  </si>
  <si>
    <t>P-1040</t>
  </si>
  <si>
    <t>Cord Ends</t>
  </si>
  <si>
    <t>P-1041</t>
  </si>
  <si>
    <t>Pinking Shears</t>
  </si>
  <si>
    <t>P-1042</t>
  </si>
  <si>
    <t>Bobbins</t>
  </si>
  <si>
    <t>P-1043</t>
  </si>
  <si>
    <t>Rotary Cutter</t>
  </si>
  <si>
    <t>P-1044</t>
  </si>
  <si>
    <t>Spray Adhesive</t>
  </si>
  <si>
    <t>P-1045</t>
  </si>
  <si>
    <t>Fusible Fleece</t>
  </si>
  <si>
    <t>P-1046</t>
  </si>
  <si>
    <t>Piping Cord</t>
  </si>
  <si>
    <t>P-1047</t>
  </si>
  <si>
    <t>Thimbles</t>
  </si>
  <si>
    <t>P-1048</t>
  </si>
  <si>
    <t>Seam Rippers</t>
  </si>
  <si>
    <t>P-1049</t>
  </si>
  <si>
    <t>Cutting Mats</t>
  </si>
  <si>
    <t>P-1050</t>
  </si>
  <si>
    <t>Tailor's Ham</t>
  </si>
  <si>
    <t>P-1051</t>
  </si>
  <si>
    <t>Organza Fabric</t>
  </si>
  <si>
    <t>P-1052</t>
  </si>
  <si>
    <t>Taffeta Lining</t>
  </si>
  <si>
    <t>P-1053</t>
  </si>
  <si>
    <t>Bias Tape</t>
  </si>
  <si>
    <t>P-1054</t>
  </si>
  <si>
    <t>Cord Locks</t>
  </si>
  <si>
    <t>P-1055</t>
  </si>
  <si>
    <t>Magnetic Snaps</t>
  </si>
  <si>
    <t>P-1056</t>
  </si>
  <si>
    <t>Ironing Boards</t>
  </si>
  <si>
    <t>P-1057</t>
  </si>
  <si>
    <t>Fabric Weights</t>
  </si>
  <si>
    <t>P-1058</t>
  </si>
  <si>
    <t>Heat Transfer</t>
  </si>
  <si>
    <t>P-1059</t>
  </si>
  <si>
    <t>Safety Pins</t>
  </si>
  <si>
    <t>P-1060</t>
  </si>
  <si>
    <t>Barcode Ribbon</t>
  </si>
  <si>
    <t>P-1061</t>
  </si>
  <si>
    <t>Stretch Denim</t>
  </si>
  <si>
    <t>P-1062</t>
  </si>
  <si>
    <t>Microfiber</t>
  </si>
  <si>
    <t>P-1063</t>
  </si>
  <si>
    <t>Batting Roll</t>
  </si>
  <si>
    <t>P-1064</t>
  </si>
  <si>
    <t>Braided Cord</t>
  </si>
  <si>
    <t>P-1065</t>
  </si>
  <si>
    <t>Fringe Trim</t>
  </si>
  <si>
    <t>P-1066</t>
  </si>
  <si>
    <t>Pom Poms</t>
  </si>
  <si>
    <t>P-1067</t>
  </si>
  <si>
    <t>Bra Underwire</t>
  </si>
  <si>
    <t>P-1068</t>
  </si>
  <si>
    <t>Corset Boning</t>
  </si>
  <si>
    <t>P-1069</t>
  </si>
  <si>
    <t>Fabric Glue</t>
  </si>
  <si>
    <t>P-1070</t>
  </si>
  <si>
    <t>Tracing Wheel</t>
  </si>
  <si>
    <t>P-1071</t>
  </si>
  <si>
    <t>Awl Tool</t>
  </si>
  <si>
    <t>P-1072</t>
  </si>
  <si>
    <t>Bobbin Case</t>
  </si>
  <si>
    <t>P-1073</t>
  </si>
  <si>
    <t>Presser Feet</t>
  </si>
  <si>
    <t>P-1074</t>
  </si>
  <si>
    <t>Needle Threader</t>
  </si>
  <si>
    <t>P-1075</t>
  </si>
  <si>
    <t>Iron Soleplate</t>
  </si>
  <si>
    <t>P-1076</t>
  </si>
  <si>
    <t>Fabric Scissors</t>
  </si>
  <si>
    <t>P-1077</t>
  </si>
  <si>
    <t>Glue Gun</t>
  </si>
  <si>
    <t>P-1078</t>
  </si>
  <si>
    <t>Marking Pens</t>
  </si>
  <si>
    <t>P-1079</t>
  </si>
  <si>
    <t>Pattern Hooks</t>
  </si>
  <si>
    <t>P-1080</t>
  </si>
  <si>
    <t>Notchers</t>
  </si>
  <si>
    <t>P-1081</t>
  </si>
  <si>
    <t>Hemp Fabric</t>
  </si>
  <si>
    <t>P-1082</t>
  </si>
  <si>
    <t>Bamboo Fabric</t>
  </si>
  <si>
    <t>P-1083</t>
  </si>
  <si>
    <t>Viscose Lining</t>
  </si>
  <si>
    <t>P-1084</t>
  </si>
  <si>
    <t>Tulle Roll</t>
  </si>
  <si>
    <t>P-1085</t>
  </si>
  <si>
    <t>Metallic Yarn</t>
  </si>
  <si>
    <t>P-1086</t>
  </si>
  <si>
    <t>Crochet Hooks</t>
  </si>
  <si>
    <t>P-1087</t>
  </si>
  <si>
    <t>Knitting Needle</t>
  </si>
  <si>
    <t>P-1088</t>
  </si>
  <si>
    <t>Embroidery Hoop</t>
  </si>
  <si>
    <t>P-1089</t>
  </si>
  <si>
    <t>Stabilizer Sheet</t>
  </si>
  <si>
    <t>P-1090</t>
  </si>
  <si>
    <t>Fusible Web</t>
  </si>
  <si>
    <t>P-1091</t>
  </si>
  <si>
    <t>Bead Strand</t>
  </si>
  <si>
    <t>P-1092</t>
  </si>
  <si>
    <t>Rhinestones</t>
  </si>
  <si>
    <t>P-1093</t>
  </si>
  <si>
    <t>Feather Trim</t>
  </si>
  <si>
    <t>P-1094</t>
  </si>
  <si>
    <t>Leather Scraps</t>
  </si>
  <si>
    <t>P-1095</t>
  </si>
  <si>
    <t>Suede Cord</t>
  </si>
  <si>
    <t>P-1096</t>
  </si>
  <si>
    <t>Grommet Kit</t>
  </si>
  <si>
    <t>P-1097</t>
  </si>
  <si>
    <t>Mallet</t>
  </si>
  <si>
    <t>P-1098</t>
  </si>
  <si>
    <t>Hole Punch</t>
  </si>
  <si>
    <t>P-1099</t>
  </si>
  <si>
    <t>Rivet Setter</t>
  </si>
  <si>
    <t>P-1100</t>
  </si>
  <si>
    <t>Storage Bin</t>
  </si>
  <si>
    <t>Current Stock</t>
  </si>
  <si>
    <t>Tailor'S Ham</t>
  </si>
  <si>
    <t>Status</t>
  </si>
  <si>
    <t>Re-Order Now</t>
  </si>
  <si>
    <t>ok</t>
  </si>
  <si>
    <t>Unit Price</t>
  </si>
  <si>
    <t>Total Stock Value</t>
  </si>
  <si>
    <t>Current Stock Status</t>
  </si>
  <si>
    <t>Vat 10%</t>
  </si>
  <si>
    <t>Profit Calculation</t>
  </si>
  <si>
    <t>Profit Margin</t>
  </si>
  <si>
    <t>IN Stock</t>
  </si>
  <si>
    <t>Available</t>
  </si>
  <si>
    <t>Low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</si>
</sst>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091BD8-53E1-4A37-AD04-15180D8C8494}" autoFormatId="16" applyNumberFormats="0" applyBorderFormats="0" applyFontFormats="0" applyPatternFormats="0" applyAlignmentFormats="0" applyWidthHeightFormats="0">
  <queryTableRefresh nextId="12">
    <queryTableFields count="10">
      <queryTableField id="1" name="Product ID" tableColumnId="1"/>
      <queryTableField id="2" name="Product Name" tableColumnId="2"/>
      <queryTableField id="3" name="Category" tableColumnId="3"/>
      <queryTableField id="4" name="Opening Stock" tableColumnId="4"/>
      <queryTableField id="5" name="Stock in Stock" tableColumnId="5"/>
      <queryTableField id="6" name="Outunit Price" tableColumnId="6"/>
      <queryTableField id="11" dataBound="0" tableColumnId="9"/>
      <queryTableField id="7" name="Reorder" tableColumnId="7"/>
      <queryTableField id="8" name="Current Stock" tableColumnId="8"/>
      <queryTableField id="10" name="Status" tableColumnId="10"/>
    </queryTableFields>
    <queryTableDeletedFields count="1">
      <deletedField name="Total Valu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20A8B3F-BCAC-4586-86B0-743F8028441B}" autoFormatId="16" applyNumberFormats="0" applyBorderFormats="0" applyFontFormats="0" applyPatternFormats="0" applyAlignmentFormats="0" applyWidthHeightFormats="0">
  <queryTableRefresh nextId="15">
    <queryTableFields count="14">
      <queryTableField id="1" name="Product ID" tableColumnId="1"/>
      <queryTableField id="2" name="Product Name" tableColumnId="2"/>
      <queryTableField id="3" name="Category" tableColumnId="3"/>
      <queryTableField id="4" name="Opening Stock" tableColumnId="4"/>
      <queryTableField id="5" name="Stock in Stock" tableColumnId="5"/>
      <queryTableField id="6" name="Reorder" tableColumnId="6"/>
      <queryTableField id="7" name="Outunit Price" tableColumnId="7"/>
      <queryTableField id="8" name="Unit Price" tableColumnId="8"/>
      <queryTableField id="9" name="Vat 10%" tableColumnId="9"/>
      <queryTableField id="10" name="Current Stock" tableColumnId="10"/>
      <queryTableField id="11" name="Total Stock Value" tableColumnId="11"/>
      <queryTableField id="12" name="Profit Calculation" tableColumnId="12"/>
      <queryTableField id="13" name="Profit Margin" tableColumnId="13"/>
      <queryTableField id="14" name="Current Stock Statu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A13099-F702-4D85-9119-D0434CCB4FFB}" autoFormatId="16" applyNumberFormats="0" applyBorderFormats="0" applyFontFormats="0" applyPatternFormats="0" applyAlignmentFormats="0" applyWidthHeightFormats="0">
  <queryTableRefresh nextId="13">
    <queryTableFields count="9">
      <queryTableField id="1" name="Product ID" tableColumnId="1"/>
      <queryTableField id="2" name="Product Name" tableColumnId="2"/>
      <queryTableField id="3" name="Category" tableColumnId="3"/>
      <queryTableField id="4" name="Opening Stock" tableColumnId="4"/>
      <queryTableField id="5" name="Stock in Stock" tableColumnId="5"/>
      <queryTableField id="6" name="Reorder" tableColumnId="6"/>
      <queryTableField id="7" name="Outunit Price" tableColumnId="7"/>
      <queryTableField id="8" name="Unit Price" tableColumnId="8"/>
      <queryTableField id="12" name="Vat 10%" tableColumnId="12"/>
    </queryTableFields>
    <queryTableDeletedFields count="3">
      <deletedField name="Current Stock Status"/>
      <deletedField name="Current Stock"/>
      <deletedField name="Total Stock 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256372-E418-447D-AF25-61F47F73B6EA}" name="Table1_1" displayName="Table1_1" ref="A1:J101" tableType="queryTable" totalsRowShown="0">
  <autoFilter ref="A1:J101" xr:uid="{E6256372-E418-447D-AF25-61F47F73B6EA}"/>
  <tableColumns count="10">
    <tableColumn id="1" xr3:uid="{A2D7853D-6026-457A-A2AA-1DBE278D3DA5}" uniqueName="1" name="Product ID" queryTableFieldId="1" dataDxfId="21"/>
    <tableColumn id="2" xr3:uid="{7632DE2A-6AAF-4F68-8C75-28D8CD9D7420}" uniqueName="2" name="Product Name" queryTableFieldId="2" dataDxfId="20"/>
    <tableColumn id="3" xr3:uid="{AC205066-C4AB-4AAC-B4A3-7680C55B9580}" uniqueName="3" name="Category" queryTableFieldId="3" dataDxfId="19"/>
    <tableColumn id="4" xr3:uid="{BFFC0E74-4E19-4E06-8027-5BC2D56D2FA7}" uniqueName="4" name="Opening Stock" queryTableFieldId="4"/>
    <tableColumn id="5" xr3:uid="{D3633AC9-7D99-419C-917A-339245E70FE1}" uniqueName="5" name="Stock in Stock" queryTableFieldId="5"/>
    <tableColumn id="6" xr3:uid="{26115F89-17D6-4210-A15D-2E911ECEAB45}" uniqueName="6" name="Outunit Price" queryTableFieldId="6"/>
    <tableColumn id="9" xr3:uid="{BDBDDEB3-1AB3-443B-BF3B-EF1CBF53443C}" uniqueName="9" name="Unit Price" queryTableFieldId="11">
      <calculatedColumnFormula>RANDBETWEEN(200,499)</calculatedColumnFormula>
    </tableColumn>
    <tableColumn id="7" xr3:uid="{6CB71C1B-2256-4918-A33D-DD1B428ACAC5}" uniqueName="7" name="Reorder" queryTableFieldId="7"/>
    <tableColumn id="8" xr3:uid="{DE223638-A7D2-4736-ACB8-7A1B9BE4B68F}" uniqueName="8" name="Current Stock" queryTableFieldId="8"/>
    <tableColumn id="10" xr3:uid="{EC060967-C377-4815-9C23-A07F4BF2C147}" uniqueName="10" name="Statu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5F5446-1873-4298-BAFB-FA2B9ED979B4}" name="Table1__2_1" displayName="Table1__2_1" ref="A1:N101" tableType="queryTable" totalsRowShown="0">
  <autoFilter ref="A1:N101" xr:uid="{A35F5446-1873-4298-BAFB-FA2B9ED979B4}"/>
  <tableColumns count="14">
    <tableColumn id="1" xr3:uid="{18BDA77E-605F-4656-B338-2CFE4DE23D85}" uniqueName="1" name="Product ID" queryTableFieldId="1" dataDxfId="18"/>
    <tableColumn id="2" xr3:uid="{65CBFFD0-C9F6-4BCD-A0A1-91AD1B2A5180}" uniqueName="2" name="Product Name" queryTableFieldId="2" dataDxfId="17"/>
    <tableColumn id="3" xr3:uid="{D4F36974-23B5-4485-8F33-FA21FECE09CE}" uniqueName="3" name="Category" queryTableFieldId="3" dataDxfId="16"/>
    <tableColumn id="4" xr3:uid="{3FF9FD1D-3B35-44FA-A34F-1A059016C0BC}" uniqueName="4" name="Opening Stock" queryTableFieldId="4"/>
    <tableColumn id="5" xr3:uid="{A8664B4E-A814-46D8-89FB-DFACA929BD66}" uniqueName="5" name="Stock in Stock" queryTableFieldId="5"/>
    <tableColumn id="6" xr3:uid="{8222A451-FF4E-404A-8E18-CB6661F5095B}" uniqueName="6" name="Reorder" queryTableFieldId="6"/>
    <tableColumn id="7" xr3:uid="{AC1DBCD8-4035-4081-9453-89DAD704091B}" uniqueName="7" name="Outunit Price" queryTableFieldId="7"/>
    <tableColumn id="8" xr3:uid="{697231DB-6176-4DDC-9742-16B791EBD10B}" uniqueName="8" name="Unit Price" queryTableFieldId="8"/>
    <tableColumn id="9" xr3:uid="{87C339B8-F83D-4840-8CA2-2AAE7815061B}" uniqueName="9" name="Vat 10%" queryTableFieldId="9"/>
    <tableColumn id="10" xr3:uid="{DF972603-1090-4EAE-A007-881DFCE9E88E}" uniqueName="10" name="Current Stock" queryTableFieldId="10"/>
    <tableColumn id="11" xr3:uid="{7BD922F1-4A79-4418-858E-9F3A4055764C}" uniqueName="11" name="Total Stock Value" queryTableFieldId="11"/>
    <tableColumn id="12" xr3:uid="{05ACA889-1791-4FE8-837F-1CD1E5F95BD5}" uniqueName="12" name="Profit Calculation" queryTableFieldId="12"/>
    <tableColumn id="13" xr3:uid="{F707E88A-ED3A-415A-9734-7427EDE9AB91}" uniqueName="13" name="Profit Margin" queryTableFieldId="13" dataCellStyle="Percent"/>
    <tableColumn id="14" xr3:uid="{28D2587F-C4B4-45D5-98E7-7D654F6EBB26}" uniqueName="14" name="Current Stock Status" queryTableField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7E552-622D-4346-9266-D29EE4DB09C3}" name="Table1__2" displayName="Table1__2" ref="A1:I101" tableType="queryTable" totalsRowShown="0">
  <autoFilter ref="A1:I101" xr:uid="{1387E552-622D-4346-9266-D29EE4DB09C3}"/>
  <tableColumns count="9">
    <tableColumn id="1" xr3:uid="{D64E2ADD-50C7-412B-A7D8-71E8A0FBD3A0}" uniqueName="1" name="Product ID" queryTableFieldId="1" dataDxfId="15"/>
    <tableColumn id="2" xr3:uid="{4E98BF7E-1D82-4FB2-9C77-6E0E69378ECA}" uniqueName="2" name="Product Name" queryTableFieldId="2" dataDxfId="14"/>
    <tableColumn id="3" xr3:uid="{E315E1A2-26A0-45CE-8C58-6A3A7D12E345}" uniqueName="3" name="Category" queryTableFieldId="3" dataDxfId="13"/>
    <tableColumn id="4" xr3:uid="{35263EA2-AA6B-425A-AA17-BD4BDA470D08}" uniqueName="4" name="Opening Stock" queryTableFieldId="4"/>
    <tableColumn id="5" xr3:uid="{F15E4069-71B7-4605-A014-6E9AD30F56A8}" uniqueName="5" name="Stock in Stock" queryTableFieldId="5"/>
    <tableColumn id="6" xr3:uid="{D1C010D0-C352-4E00-83C2-DC202F13114F}" uniqueName="6" name="Reorder" queryTableFieldId="6"/>
    <tableColumn id="7" xr3:uid="{F8894B78-971D-47E9-AF3E-ABC03581FF6D}" uniqueName="7" name="Outunit Price" queryTableFieldId="7"/>
    <tableColumn id="8" xr3:uid="{105BFCEF-4F69-4A85-B5BB-3D4110163C1C}" uniqueName="8" name="Unit Price" queryTableFieldId="8"/>
    <tableColumn id="12" xr3:uid="{EE3F3832-9F8A-4442-B90E-DEDC2F53DDCA}" uniqueName="12" name="Vat 10%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0067B-6138-46C7-BE5A-3C8C6FB6141C}" name="Table1" displayName="Table1" ref="D5:K105" totalsRowShown="0" headerRowDxfId="12" dataDxfId="10" headerRowBorderDxfId="11" tableBorderDxfId="9" totalsRowBorderDxfId="8">
  <autoFilter ref="D5:K105" xr:uid="{C930067B-6138-46C7-BE5A-3C8C6FB6141C}"/>
  <tableColumns count="8">
    <tableColumn id="1" xr3:uid="{9272838F-3580-4D94-BAF6-433D86A3C831}" name="Product ID" dataDxfId="7"/>
    <tableColumn id="2" xr3:uid="{FA2A899F-9A68-47B1-A5B8-EED0B4759424}" name="Product Name" dataDxfId="6"/>
    <tableColumn id="3" xr3:uid="{1BA2DE03-5029-45FD-93FF-503BCB705C69}" name="Category" dataDxfId="5"/>
    <tableColumn id="4" xr3:uid="{7E7C3EA2-1B2E-4D78-984E-57A5F35D2284}" name="Opening Stock" dataDxfId="4"/>
    <tableColumn id="5" xr3:uid="{4721BEEC-02ED-452F-97C7-28134E3B041C}" name="Stock in Stock" dataDxfId="3"/>
    <tableColumn id="7" xr3:uid="{B11DE8DC-348F-4A4B-AE05-29D14F5DC0EB}" name="Reorder" dataDxfId="2"/>
    <tableColumn id="6" xr3:uid="{FCD3187F-2C9A-4F3B-AC47-91163D2DCCAB}" name="Outunit Price" dataDxfId="1">
      <calculatedColumnFormula>RANDBETWEEN(500,1000)</calculatedColumnFormula>
    </tableColumn>
    <tableColumn id="8" xr3:uid="{5A4E7FC8-2626-44AB-BDE5-421D221A65F3}" name="Unit Price" dataDxfId="0">
      <calculatedColumnFormula>RANDBETWEEN(200,499)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BEC-B500-4E98-8CCA-1A77232DCF8C}">
  <dimension ref="A1:J101"/>
  <sheetViews>
    <sheetView topLeftCell="A75" workbookViewId="0">
      <selection activeCell="G1" sqref="G1:G10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88671875" bestFit="1" customWidth="1"/>
    <col min="4" max="4" width="15.5546875" bestFit="1" customWidth="1"/>
    <col min="5" max="5" width="15" bestFit="1" customWidth="1"/>
    <col min="6" max="6" width="14.21875" bestFit="1" customWidth="1"/>
    <col min="7" max="7" width="14.21875" customWidth="1"/>
    <col min="8" max="8" width="9.88671875" bestFit="1" customWidth="1"/>
    <col min="9" max="9" width="14.6640625" bestFit="1" customWidth="1"/>
    <col min="10" max="10" width="12.7773437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218</v>
      </c>
      <c r="H1" t="s">
        <v>7</v>
      </c>
      <c r="I1" t="s">
        <v>213</v>
      </c>
      <c r="J1" t="s">
        <v>215</v>
      </c>
    </row>
    <row r="2" spans="1:10" x14ac:dyDescent="0.3">
      <c r="A2" t="s">
        <v>8</v>
      </c>
      <c r="B2" t="s">
        <v>43</v>
      </c>
      <c r="C2" t="s">
        <v>38</v>
      </c>
      <c r="D2">
        <v>500</v>
      </c>
      <c r="E2">
        <v>1200</v>
      </c>
      <c r="F2">
        <f ca="1">RANDBETWEEN(500,1000)</f>
        <v>973</v>
      </c>
      <c r="G2">
        <f ca="1">RANDBETWEEN(200,499)</f>
        <v>329</v>
      </c>
      <c r="H2">
        <v>1800</v>
      </c>
      <c r="I2">
        <v>1700</v>
      </c>
      <c r="J2" t="s">
        <v>216</v>
      </c>
    </row>
    <row r="3" spans="1:10" x14ac:dyDescent="0.3">
      <c r="A3" t="s">
        <v>9</v>
      </c>
      <c r="B3" t="s">
        <v>39</v>
      </c>
      <c r="C3" t="s">
        <v>40</v>
      </c>
      <c r="D3">
        <v>1500</v>
      </c>
      <c r="E3">
        <v>3000</v>
      </c>
      <c r="F3">
        <f t="shared" ref="F3:F66" ca="1" si="0">RANDBETWEEN(500,1000)</f>
        <v>502</v>
      </c>
      <c r="G3">
        <f t="shared" ref="G3:G66" ca="1" si="1">RANDBETWEEN(200,499)</f>
        <v>405</v>
      </c>
      <c r="H3">
        <v>500</v>
      </c>
      <c r="I3">
        <v>4500</v>
      </c>
      <c r="J3" t="s">
        <v>217</v>
      </c>
    </row>
    <row r="4" spans="1:10" x14ac:dyDescent="0.3">
      <c r="A4" t="s">
        <v>10</v>
      </c>
      <c r="B4" t="s">
        <v>44</v>
      </c>
      <c r="C4" t="s">
        <v>45</v>
      </c>
      <c r="D4">
        <v>2000</v>
      </c>
      <c r="E4">
        <v>5000</v>
      </c>
      <c r="F4">
        <f t="shared" ca="1" si="0"/>
        <v>818</v>
      </c>
      <c r="G4">
        <f t="shared" ca="1" si="1"/>
        <v>488</v>
      </c>
      <c r="H4">
        <v>800</v>
      </c>
      <c r="I4">
        <v>7000</v>
      </c>
      <c r="J4" t="s">
        <v>217</v>
      </c>
    </row>
    <row r="5" spans="1:10" x14ac:dyDescent="0.3">
      <c r="A5" t="s">
        <v>11</v>
      </c>
      <c r="B5" t="s">
        <v>46</v>
      </c>
      <c r="C5" t="s">
        <v>45</v>
      </c>
      <c r="D5">
        <v>10000</v>
      </c>
      <c r="E5">
        <v>25000</v>
      </c>
      <c r="F5">
        <f t="shared" ca="1" si="0"/>
        <v>775</v>
      </c>
      <c r="G5">
        <f t="shared" ca="1" si="1"/>
        <v>455</v>
      </c>
      <c r="H5">
        <v>2000</v>
      </c>
      <c r="I5">
        <v>35000</v>
      </c>
      <c r="J5" t="s">
        <v>217</v>
      </c>
    </row>
    <row r="6" spans="1:10" x14ac:dyDescent="0.3">
      <c r="A6" t="s">
        <v>12</v>
      </c>
      <c r="B6" t="s">
        <v>47</v>
      </c>
      <c r="C6" t="s">
        <v>38</v>
      </c>
      <c r="D6">
        <v>200</v>
      </c>
      <c r="E6">
        <v>450</v>
      </c>
      <c r="F6">
        <f t="shared" ca="1" si="0"/>
        <v>929</v>
      </c>
      <c r="G6">
        <f t="shared" ca="1" si="1"/>
        <v>465</v>
      </c>
      <c r="H6">
        <v>100</v>
      </c>
      <c r="I6">
        <v>650</v>
      </c>
      <c r="J6" t="s">
        <v>217</v>
      </c>
    </row>
    <row r="7" spans="1:10" x14ac:dyDescent="0.3">
      <c r="A7" t="s">
        <v>13</v>
      </c>
      <c r="B7" t="s">
        <v>48</v>
      </c>
      <c r="C7" t="s">
        <v>40</v>
      </c>
      <c r="D7">
        <v>800</v>
      </c>
      <c r="E7">
        <v>1500</v>
      </c>
      <c r="F7">
        <f t="shared" ca="1" si="0"/>
        <v>945</v>
      </c>
      <c r="G7">
        <f t="shared" ca="1" si="1"/>
        <v>295</v>
      </c>
      <c r="H7">
        <v>400</v>
      </c>
      <c r="I7">
        <v>2300</v>
      </c>
      <c r="J7" t="s">
        <v>217</v>
      </c>
    </row>
    <row r="8" spans="1:10" x14ac:dyDescent="0.3">
      <c r="A8" t="s">
        <v>14</v>
      </c>
      <c r="B8" t="s">
        <v>49</v>
      </c>
      <c r="C8" t="s">
        <v>41</v>
      </c>
      <c r="D8">
        <v>50</v>
      </c>
      <c r="E8">
        <v>200</v>
      </c>
      <c r="F8">
        <f t="shared" ca="1" si="0"/>
        <v>821</v>
      </c>
      <c r="G8">
        <f t="shared" ca="1" si="1"/>
        <v>350</v>
      </c>
      <c r="H8">
        <v>30</v>
      </c>
      <c r="I8">
        <v>250</v>
      </c>
      <c r="J8" t="s">
        <v>217</v>
      </c>
    </row>
    <row r="9" spans="1:10" x14ac:dyDescent="0.3">
      <c r="A9" t="s">
        <v>15</v>
      </c>
      <c r="B9" t="s">
        <v>50</v>
      </c>
      <c r="C9" t="s">
        <v>42</v>
      </c>
      <c r="D9">
        <v>100</v>
      </c>
      <c r="E9">
        <v>300</v>
      </c>
      <c r="F9">
        <f t="shared" ca="1" si="0"/>
        <v>734</v>
      </c>
      <c r="G9">
        <f t="shared" ca="1" si="1"/>
        <v>216</v>
      </c>
      <c r="H9">
        <v>50</v>
      </c>
      <c r="I9">
        <v>400</v>
      </c>
      <c r="J9" t="s">
        <v>217</v>
      </c>
    </row>
    <row r="10" spans="1:10" x14ac:dyDescent="0.3">
      <c r="A10" t="s">
        <v>16</v>
      </c>
      <c r="B10" t="s">
        <v>51</v>
      </c>
      <c r="C10" t="s">
        <v>40</v>
      </c>
      <c r="D10">
        <v>5000</v>
      </c>
      <c r="E10">
        <v>10000</v>
      </c>
      <c r="F10">
        <f t="shared" ca="1" si="0"/>
        <v>770</v>
      </c>
      <c r="G10">
        <f t="shared" ca="1" si="1"/>
        <v>247</v>
      </c>
      <c r="H10">
        <v>1000</v>
      </c>
      <c r="I10">
        <v>15000</v>
      </c>
      <c r="J10" t="s">
        <v>217</v>
      </c>
    </row>
    <row r="11" spans="1:10" x14ac:dyDescent="0.3">
      <c r="A11" t="s">
        <v>17</v>
      </c>
      <c r="B11" t="s">
        <v>52</v>
      </c>
      <c r="C11" t="s">
        <v>42</v>
      </c>
      <c r="D11">
        <v>20000</v>
      </c>
      <c r="E11">
        <v>50000</v>
      </c>
      <c r="F11">
        <f t="shared" ca="1" si="0"/>
        <v>935</v>
      </c>
      <c r="G11">
        <f t="shared" ca="1" si="1"/>
        <v>379</v>
      </c>
      <c r="H11">
        <v>5000</v>
      </c>
      <c r="I11">
        <v>70000</v>
      </c>
      <c r="J11" t="s">
        <v>217</v>
      </c>
    </row>
    <row r="12" spans="1:10" x14ac:dyDescent="0.3">
      <c r="A12" t="s">
        <v>18</v>
      </c>
      <c r="B12" t="s">
        <v>53</v>
      </c>
      <c r="C12" t="s">
        <v>38</v>
      </c>
      <c r="D12">
        <v>150</v>
      </c>
      <c r="E12">
        <v>400</v>
      </c>
      <c r="F12">
        <f t="shared" ca="1" si="0"/>
        <v>882</v>
      </c>
      <c r="G12">
        <f t="shared" ca="1" si="1"/>
        <v>367</v>
      </c>
      <c r="H12">
        <v>80</v>
      </c>
      <c r="I12">
        <v>550</v>
      </c>
      <c r="J12" t="s">
        <v>217</v>
      </c>
    </row>
    <row r="13" spans="1:10" x14ac:dyDescent="0.3">
      <c r="A13" t="s">
        <v>19</v>
      </c>
      <c r="B13" t="s">
        <v>54</v>
      </c>
      <c r="C13" t="s">
        <v>38</v>
      </c>
      <c r="D13">
        <v>300</v>
      </c>
      <c r="E13">
        <v>800</v>
      </c>
      <c r="F13">
        <f t="shared" ca="1" si="0"/>
        <v>971</v>
      </c>
      <c r="G13">
        <f t="shared" ca="1" si="1"/>
        <v>384</v>
      </c>
      <c r="H13">
        <v>200</v>
      </c>
      <c r="I13">
        <v>1100</v>
      </c>
      <c r="J13" t="s">
        <v>217</v>
      </c>
    </row>
    <row r="14" spans="1:10" x14ac:dyDescent="0.3">
      <c r="A14" t="s">
        <v>20</v>
      </c>
      <c r="B14" t="s">
        <v>55</v>
      </c>
      <c r="C14" t="s">
        <v>45</v>
      </c>
      <c r="D14">
        <v>3000</v>
      </c>
      <c r="E14">
        <v>7000</v>
      </c>
      <c r="F14">
        <f t="shared" ca="1" si="0"/>
        <v>814</v>
      </c>
      <c r="G14">
        <f t="shared" ca="1" si="1"/>
        <v>228</v>
      </c>
      <c r="H14">
        <v>1500</v>
      </c>
      <c r="I14">
        <v>10000</v>
      </c>
      <c r="J14" t="s">
        <v>217</v>
      </c>
    </row>
    <row r="15" spans="1:10" x14ac:dyDescent="0.3">
      <c r="A15" t="s">
        <v>21</v>
      </c>
      <c r="B15" t="s">
        <v>56</v>
      </c>
      <c r="C15" t="s">
        <v>40</v>
      </c>
      <c r="D15">
        <v>400</v>
      </c>
      <c r="E15">
        <v>1000</v>
      </c>
      <c r="F15">
        <f t="shared" ca="1" si="0"/>
        <v>831</v>
      </c>
      <c r="G15">
        <f t="shared" ca="1" si="1"/>
        <v>383</v>
      </c>
      <c r="H15">
        <v>200</v>
      </c>
      <c r="I15">
        <v>1400</v>
      </c>
      <c r="J15" t="s">
        <v>217</v>
      </c>
    </row>
    <row r="16" spans="1:10" x14ac:dyDescent="0.3">
      <c r="A16" t="s">
        <v>22</v>
      </c>
      <c r="B16" t="s">
        <v>57</v>
      </c>
      <c r="C16" t="s">
        <v>38</v>
      </c>
      <c r="D16">
        <v>600</v>
      </c>
      <c r="E16">
        <v>1200</v>
      </c>
      <c r="F16">
        <f t="shared" ca="1" si="0"/>
        <v>957</v>
      </c>
      <c r="G16">
        <f t="shared" ca="1" si="1"/>
        <v>461</v>
      </c>
      <c r="H16">
        <v>1800</v>
      </c>
      <c r="I16">
        <v>1800</v>
      </c>
      <c r="J16" t="s">
        <v>216</v>
      </c>
    </row>
    <row r="17" spans="1:10" x14ac:dyDescent="0.3">
      <c r="A17" t="s">
        <v>23</v>
      </c>
      <c r="B17" t="s">
        <v>58</v>
      </c>
      <c r="C17" t="s">
        <v>38</v>
      </c>
      <c r="D17">
        <v>250</v>
      </c>
      <c r="E17">
        <v>550</v>
      </c>
      <c r="F17">
        <f t="shared" ca="1" si="0"/>
        <v>676</v>
      </c>
      <c r="G17">
        <f t="shared" ca="1" si="1"/>
        <v>252</v>
      </c>
      <c r="H17">
        <v>150</v>
      </c>
      <c r="I17">
        <v>800</v>
      </c>
      <c r="J17" t="s">
        <v>217</v>
      </c>
    </row>
    <row r="18" spans="1:10" x14ac:dyDescent="0.3">
      <c r="A18" t="s">
        <v>24</v>
      </c>
      <c r="B18" t="s">
        <v>59</v>
      </c>
      <c r="C18" t="s">
        <v>45</v>
      </c>
      <c r="D18">
        <v>100</v>
      </c>
      <c r="E18">
        <v>500</v>
      </c>
      <c r="F18">
        <f t="shared" ca="1" si="0"/>
        <v>570</v>
      </c>
      <c r="G18">
        <f t="shared" ca="1" si="1"/>
        <v>271</v>
      </c>
      <c r="H18">
        <v>100</v>
      </c>
      <c r="I18">
        <v>600</v>
      </c>
      <c r="J18" t="s">
        <v>217</v>
      </c>
    </row>
    <row r="19" spans="1:10" x14ac:dyDescent="0.3">
      <c r="A19" t="s">
        <v>25</v>
      </c>
      <c r="B19" t="s">
        <v>60</v>
      </c>
      <c r="C19" t="s">
        <v>42</v>
      </c>
      <c r="D19">
        <v>500</v>
      </c>
      <c r="E19">
        <v>1500</v>
      </c>
      <c r="F19">
        <f t="shared" ca="1" si="0"/>
        <v>602</v>
      </c>
      <c r="G19">
        <f t="shared" ca="1" si="1"/>
        <v>387</v>
      </c>
      <c r="H19">
        <v>1800</v>
      </c>
      <c r="I19">
        <v>2000</v>
      </c>
      <c r="J19" t="s">
        <v>217</v>
      </c>
    </row>
    <row r="20" spans="1:10" x14ac:dyDescent="0.3">
      <c r="A20" t="s">
        <v>26</v>
      </c>
      <c r="B20" t="s">
        <v>61</v>
      </c>
      <c r="C20" t="s">
        <v>45</v>
      </c>
      <c r="D20">
        <v>8000</v>
      </c>
      <c r="E20">
        <v>15000</v>
      </c>
      <c r="F20">
        <f t="shared" ca="1" si="0"/>
        <v>549</v>
      </c>
      <c r="G20">
        <f t="shared" ca="1" si="1"/>
        <v>424</v>
      </c>
      <c r="H20">
        <v>2000</v>
      </c>
      <c r="I20">
        <v>23000</v>
      </c>
      <c r="J20" t="s">
        <v>217</v>
      </c>
    </row>
    <row r="21" spans="1:10" x14ac:dyDescent="0.3">
      <c r="A21" t="s">
        <v>27</v>
      </c>
      <c r="B21" t="s">
        <v>62</v>
      </c>
      <c r="C21" t="s">
        <v>38</v>
      </c>
      <c r="D21">
        <v>400</v>
      </c>
      <c r="E21">
        <v>1000</v>
      </c>
      <c r="F21">
        <f t="shared" ca="1" si="0"/>
        <v>798</v>
      </c>
      <c r="G21">
        <f t="shared" ca="1" si="1"/>
        <v>222</v>
      </c>
      <c r="H21">
        <v>1800</v>
      </c>
      <c r="I21">
        <v>1400</v>
      </c>
      <c r="J21" t="s">
        <v>216</v>
      </c>
    </row>
    <row r="22" spans="1:10" x14ac:dyDescent="0.3">
      <c r="A22" t="s">
        <v>28</v>
      </c>
      <c r="B22" t="s">
        <v>63</v>
      </c>
      <c r="C22" t="s">
        <v>38</v>
      </c>
      <c r="D22">
        <v>120</v>
      </c>
      <c r="E22">
        <v>350</v>
      </c>
      <c r="F22">
        <f t="shared" ca="1" si="0"/>
        <v>983</v>
      </c>
      <c r="G22">
        <f t="shared" ca="1" si="1"/>
        <v>458</v>
      </c>
      <c r="H22">
        <v>100</v>
      </c>
      <c r="I22">
        <v>470</v>
      </c>
      <c r="J22" t="s">
        <v>217</v>
      </c>
    </row>
    <row r="23" spans="1:10" x14ac:dyDescent="0.3">
      <c r="A23" t="s">
        <v>29</v>
      </c>
      <c r="B23" t="s">
        <v>64</v>
      </c>
      <c r="C23" t="s">
        <v>40</v>
      </c>
      <c r="D23">
        <v>600</v>
      </c>
      <c r="E23">
        <v>1200</v>
      </c>
      <c r="F23">
        <f t="shared" ca="1" si="0"/>
        <v>719</v>
      </c>
      <c r="G23">
        <f t="shared" ca="1" si="1"/>
        <v>323</v>
      </c>
      <c r="H23">
        <v>400</v>
      </c>
      <c r="I23">
        <v>1800</v>
      </c>
      <c r="J23" t="s">
        <v>217</v>
      </c>
    </row>
    <row r="24" spans="1:10" x14ac:dyDescent="0.3">
      <c r="A24" t="s">
        <v>30</v>
      </c>
      <c r="B24" t="s">
        <v>65</v>
      </c>
      <c r="C24" t="s">
        <v>45</v>
      </c>
      <c r="D24">
        <v>2000</v>
      </c>
      <c r="E24">
        <v>4000</v>
      </c>
      <c r="F24">
        <f t="shared" ca="1" si="0"/>
        <v>745</v>
      </c>
      <c r="G24">
        <f t="shared" ca="1" si="1"/>
        <v>215</v>
      </c>
      <c r="H24">
        <v>800</v>
      </c>
      <c r="I24">
        <v>6000</v>
      </c>
      <c r="J24" t="s">
        <v>217</v>
      </c>
    </row>
    <row r="25" spans="1:10" x14ac:dyDescent="0.3">
      <c r="A25" t="s">
        <v>31</v>
      </c>
      <c r="B25" t="s">
        <v>66</v>
      </c>
      <c r="C25" t="s">
        <v>42</v>
      </c>
      <c r="D25">
        <v>5000</v>
      </c>
      <c r="E25">
        <v>12000</v>
      </c>
      <c r="F25">
        <f t="shared" ca="1" si="0"/>
        <v>694</v>
      </c>
      <c r="G25">
        <f t="shared" ca="1" si="1"/>
        <v>267</v>
      </c>
      <c r="H25">
        <v>1000</v>
      </c>
      <c r="I25">
        <v>17000</v>
      </c>
      <c r="J25" t="s">
        <v>217</v>
      </c>
    </row>
    <row r="26" spans="1:10" x14ac:dyDescent="0.3">
      <c r="A26" t="s">
        <v>32</v>
      </c>
      <c r="B26" t="s">
        <v>67</v>
      </c>
      <c r="C26" t="s">
        <v>38</v>
      </c>
      <c r="D26">
        <v>80</v>
      </c>
      <c r="E26">
        <v>250</v>
      </c>
      <c r="F26">
        <f t="shared" ca="1" si="0"/>
        <v>752</v>
      </c>
      <c r="G26">
        <f t="shared" ca="1" si="1"/>
        <v>330</v>
      </c>
      <c r="H26">
        <v>50</v>
      </c>
      <c r="I26">
        <v>330</v>
      </c>
      <c r="J26" t="s">
        <v>217</v>
      </c>
    </row>
    <row r="27" spans="1:10" x14ac:dyDescent="0.3">
      <c r="A27" t="s">
        <v>33</v>
      </c>
      <c r="B27" t="s">
        <v>68</v>
      </c>
      <c r="C27" t="s">
        <v>45</v>
      </c>
      <c r="D27">
        <v>5000</v>
      </c>
      <c r="E27">
        <v>10000</v>
      </c>
      <c r="F27">
        <f t="shared" ca="1" si="0"/>
        <v>592</v>
      </c>
      <c r="G27">
        <f t="shared" ca="1" si="1"/>
        <v>416</v>
      </c>
      <c r="H27">
        <v>1500</v>
      </c>
      <c r="I27">
        <v>15000</v>
      </c>
      <c r="J27" t="s">
        <v>217</v>
      </c>
    </row>
    <row r="28" spans="1:10" x14ac:dyDescent="0.3">
      <c r="A28" t="s">
        <v>34</v>
      </c>
      <c r="B28" t="s">
        <v>69</v>
      </c>
      <c r="C28" t="s">
        <v>40</v>
      </c>
      <c r="D28">
        <v>300</v>
      </c>
      <c r="E28">
        <v>800</v>
      </c>
      <c r="F28">
        <f t="shared" ca="1" si="0"/>
        <v>528</v>
      </c>
      <c r="G28">
        <f t="shared" ca="1" si="1"/>
        <v>319</v>
      </c>
      <c r="H28">
        <v>200</v>
      </c>
      <c r="I28">
        <v>1100</v>
      </c>
      <c r="J28" t="s">
        <v>217</v>
      </c>
    </row>
    <row r="29" spans="1:10" x14ac:dyDescent="0.3">
      <c r="A29" t="s">
        <v>35</v>
      </c>
      <c r="B29" t="s">
        <v>70</v>
      </c>
      <c r="C29" t="s">
        <v>42</v>
      </c>
      <c r="D29">
        <v>1000</v>
      </c>
      <c r="E29">
        <v>2500</v>
      </c>
      <c r="F29">
        <f t="shared" ca="1" si="0"/>
        <v>541</v>
      </c>
      <c r="G29">
        <f t="shared" ca="1" si="1"/>
        <v>334</v>
      </c>
      <c r="H29">
        <v>500</v>
      </c>
      <c r="I29">
        <v>3500</v>
      </c>
      <c r="J29" t="s">
        <v>217</v>
      </c>
    </row>
    <row r="30" spans="1:10" x14ac:dyDescent="0.3">
      <c r="A30" t="s">
        <v>36</v>
      </c>
      <c r="B30" t="s">
        <v>71</v>
      </c>
      <c r="C30" t="s">
        <v>45</v>
      </c>
      <c r="D30">
        <v>10000</v>
      </c>
      <c r="E30">
        <v>30000</v>
      </c>
      <c r="F30">
        <f t="shared" ca="1" si="0"/>
        <v>670</v>
      </c>
      <c r="G30">
        <f t="shared" ca="1" si="1"/>
        <v>471</v>
      </c>
      <c r="H30">
        <v>5000</v>
      </c>
      <c r="I30">
        <v>40000</v>
      </c>
      <c r="J30" t="s">
        <v>217</v>
      </c>
    </row>
    <row r="31" spans="1:10" x14ac:dyDescent="0.3">
      <c r="A31" t="s">
        <v>37</v>
      </c>
      <c r="B31" t="s">
        <v>72</v>
      </c>
      <c r="C31" t="s">
        <v>38</v>
      </c>
      <c r="D31">
        <v>200</v>
      </c>
      <c r="E31">
        <v>500</v>
      </c>
      <c r="F31">
        <f t="shared" ca="1" si="0"/>
        <v>878</v>
      </c>
      <c r="G31">
        <f t="shared" ca="1" si="1"/>
        <v>344</v>
      </c>
      <c r="H31">
        <v>100</v>
      </c>
      <c r="I31">
        <v>700</v>
      </c>
      <c r="J31" t="s">
        <v>217</v>
      </c>
    </row>
    <row r="32" spans="1:10" x14ac:dyDescent="0.3">
      <c r="A32" t="s">
        <v>73</v>
      </c>
      <c r="B32" t="s">
        <v>74</v>
      </c>
      <c r="C32" t="s">
        <v>40</v>
      </c>
      <c r="D32">
        <v>400</v>
      </c>
      <c r="E32">
        <v>1200</v>
      </c>
      <c r="F32">
        <f t="shared" ca="1" si="0"/>
        <v>929</v>
      </c>
      <c r="G32">
        <f t="shared" ca="1" si="1"/>
        <v>399</v>
      </c>
      <c r="H32">
        <v>1800</v>
      </c>
      <c r="I32">
        <v>1600</v>
      </c>
      <c r="J32" t="s">
        <v>216</v>
      </c>
    </row>
    <row r="33" spans="1:10" x14ac:dyDescent="0.3">
      <c r="A33" t="s">
        <v>75</v>
      </c>
      <c r="B33" t="s">
        <v>76</v>
      </c>
      <c r="C33" t="s">
        <v>45</v>
      </c>
      <c r="D33">
        <v>500</v>
      </c>
      <c r="E33">
        <v>1500</v>
      </c>
      <c r="F33">
        <f t="shared" ca="1" si="0"/>
        <v>863</v>
      </c>
      <c r="G33">
        <f t="shared" ca="1" si="1"/>
        <v>330</v>
      </c>
      <c r="H33">
        <v>1800</v>
      </c>
      <c r="I33">
        <v>2000</v>
      </c>
      <c r="J33" t="s">
        <v>217</v>
      </c>
    </row>
    <row r="34" spans="1:10" x14ac:dyDescent="0.3">
      <c r="A34" t="s">
        <v>77</v>
      </c>
      <c r="B34" t="s">
        <v>78</v>
      </c>
      <c r="C34" t="s">
        <v>41</v>
      </c>
      <c r="D34">
        <v>20</v>
      </c>
      <c r="E34">
        <v>100</v>
      </c>
      <c r="F34">
        <f t="shared" ca="1" si="0"/>
        <v>819</v>
      </c>
      <c r="G34">
        <f t="shared" ca="1" si="1"/>
        <v>323</v>
      </c>
      <c r="H34">
        <v>20</v>
      </c>
      <c r="I34">
        <v>120</v>
      </c>
      <c r="J34" t="s">
        <v>217</v>
      </c>
    </row>
    <row r="35" spans="1:10" x14ac:dyDescent="0.3">
      <c r="A35" t="s">
        <v>79</v>
      </c>
      <c r="B35" t="s">
        <v>80</v>
      </c>
      <c r="C35" t="s">
        <v>41</v>
      </c>
      <c r="D35">
        <v>10</v>
      </c>
      <c r="E35">
        <v>50</v>
      </c>
      <c r="F35">
        <f t="shared" ca="1" si="0"/>
        <v>784</v>
      </c>
      <c r="G35">
        <f t="shared" ca="1" si="1"/>
        <v>276</v>
      </c>
      <c r="H35">
        <v>10</v>
      </c>
      <c r="I35">
        <v>60</v>
      </c>
      <c r="J35" t="s">
        <v>217</v>
      </c>
    </row>
    <row r="36" spans="1:10" x14ac:dyDescent="0.3">
      <c r="A36" t="s">
        <v>81</v>
      </c>
      <c r="B36" t="s">
        <v>82</v>
      </c>
      <c r="C36" t="s">
        <v>41</v>
      </c>
      <c r="D36">
        <v>50</v>
      </c>
      <c r="E36">
        <v>200</v>
      </c>
      <c r="F36">
        <f t="shared" ca="1" si="0"/>
        <v>665</v>
      </c>
      <c r="G36">
        <f t="shared" ca="1" si="1"/>
        <v>226</v>
      </c>
      <c r="H36">
        <v>40</v>
      </c>
      <c r="I36">
        <v>250</v>
      </c>
      <c r="J36" t="s">
        <v>217</v>
      </c>
    </row>
    <row r="37" spans="1:10" x14ac:dyDescent="0.3">
      <c r="A37" t="s">
        <v>83</v>
      </c>
      <c r="B37" t="s">
        <v>84</v>
      </c>
      <c r="C37" t="s">
        <v>45</v>
      </c>
      <c r="D37">
        <v>150</v>
      </c>
      <c r="E37">
        <v>500</v>
      </c>
      <c r="F37">
        <f t="shared" ca="1" si="0"/>
        <v>719</v>
      </c>
      <c r="G37">
        <f t="shared" ca="1" si="1"/>
        <v>394</v>
      </c>
      <c r="H37">
        <v>100</v>
      </c>
      <c r="I37">
        <v>650</v>
      </c>
      <c r="J37" t="s">
        <v>217</v>
      </c>
    </row>
    <row r="38" spans="1:10" x14ac:dyDescent="0.3">
      <c r="A38" t="s">
        <v>85</v>
      </c>
      <c r="B38" t="s">
        <v>86</v>
      </c>
      <c r="C38" t="s">
        <v>41</v>
      </c>
      <c r="D38">
        <v>1000</v>
      </c>
      <c r="E38">
        <v>5000</v>
      </c>
      <c r="F38">
        <f t="shared" ca="1" si="0"/>
        <v>548</v>
      </c>
      <c r="G38">
        <f t="shared" ca="1" si="1"/>
        <v>326</v>
      </c>
      <c r="H38">
        <v>1000</v>
      </c>
      <c r="I38">
        <v>6000</v>
      </c>
      <c r="J38" t="s">
        <v>217</v>
      </c>
    </row>
    <row r="39" spans="1:10" x14ac:dyDescent="0.3">
      <c r="A39" t="s">
        <v>87</v>
      </c>
      <c r="B39" t="s">
        <v>88</v>
      </c>
      <c r="C39" t="s">
        <v>42</v>
      </c>
      <c r="D39">
        <v>5000</v>
      </c>
      <c r="E39">
        <v>15000</v>
      </c>
      <c r="F39">
        <f t="shared" ca="1" si="0"/>
        <v>730</v>
      </c>
      <c r="G39">
        <f t="shared" ca="1" si="1"/>
        <v>457</v>
      </c>
      <c r="H39">
        <v>2000</v>
      </c>
      <c r="I39">
        <v>20000</v>
      </c>
      <c r="J39" t="s">
        <v>217</v>
      </c>
    </row>
    <row r="40" spans="1:10" x14ac:dyDescent="0.3">
      <c r="A40" t="s">
        <v>89</v>
      </c>
      <c r="B40" t="s">
        <v>90</v>
      </c>
      <c r="C40" t="s">
        <v>40</v>
      </c>
      <c r="D40">
        <v>400</v>
      </c>
      <c r="E40">
        <v>1000</v>
      </c>
      <c r="F40">
        <f t="shared" ca="1" si="0"/>
        <v>571</v>
      </c>
      <c r="G40">
        <f t="shared" ca="1" si="1"/>
        <v>471</v>
      </c>
      <c r="H40">
        <v>1800</v>
      </c>
      <c r="I40">
        <v>1400</v>
      </c>
      <c r="J40" t="s">
        <v>216</v>
      </c>
    </row>
    <row r="41" spans="1:10" x14ac:dyDescent="0.3">
      <c r="A41" t="s">
        <v>91</v>
      </c>
      <c r="B41" t="s">
        <v>92</v>
      </c>
      <c r="C41" t="s">
        <v>45</v>
      </c>
      <c r="D41">
        <v>800</v>
      </c>
      <c r="E41">
        <v>2000</v>
      </c>
      <c r="F41">
        <f t="shared" ca="1" si="0"/>
        <v>956</v>
      </c>
      <c r="G41">
        <f t="shared" ca="1" si="1"/>
        <v>288</v>
      </c>
      <c r="H41">
        <v>500</v>
      </c>
      <c r="I41">
        <v>2800</v>
      </c>
      <c r="J41" t="s">
        <v>217</v>
      </c>
    </row>
    <row r="42" spans="1:10" x14ac:dyDescent="0.3">
      <c r="A42" t="s">
        <v>93</v>
      </c>
      <c r="B42" t="s">
        <v>94</v>
      </c>
      <c r="C42" t="s">
        <v>41</v>
      </c>
      <c r="D42">
        <v>5</v>
      </c>
      <c r="E42">
        <v>20</v>
      </c>
      <c r="F42">
        <f t="shared" ca="1" si="0"/>
        <v>622</v>
      </c>
      <c r="G42">
        <f t="shared" ca="1" si="1"/>
        <v>305</v>
      </c>
      <c r="H42">
        <v>5</v>
      </c>
      <c r="I42">
        <v>25</v>
      </c>
      <c r="J42" t="s">
        <v>217</v>
      </c>
    </row>
    <row r="43" spans="1:10" x14ac:dyDescent="0.3">
      <c r="A43" t="s">
        <v>95</v>
      </c>
      <c r="B43" t="s">
        <v>96</v>
      </c>
      <c r="C43" t="s">
        <v>41</v>
      </c>
      <c r="D43">
        <v>200</v>
      </c>
      <c r="E43">
        <v>600</v>
      </c>
      <c r="F43">
        <f t="shared" ca="1" si="0"/>
        <v>995</v>
      </c>
      <c r="G43">
        <f t="shared" ca="1" si="1"/>
        <v>453</v>
      </c>
      <c r="H43">
        <v>100</v>
      </c>
      <c r="I43">
        <v>800</v>
      </c>
      <c r="J43" t="s">
        <v>217</v>
      </c>
    </row>
    <row r="44" spans="1:10" x14ac:dyDescent="0.3">
      <c r="A44" t="s">
        <v>97</v>
      </c>
      <c r="B44" t="s">
        <v>98</v>
      </c>
      <c r="C44" t="s">
        <v>41</v>
      </c>
      <c r="D44">
        <v>8</v>
      </c>
      <c r="E44">
        <v>30</v>
      </c>
      <c r="F44">
        <f t="shared" ca="1" si="0"/>
        <v>989</v>
      </c>
      <c r="G44">
        <f t="shared" ca="1" si="1"/>
        <v>374</v>
      </c>
      <c r="H44">
        <v>10</v>
      </c>
      <c r="I44">
        <v>38</v>
      </c>
      <c r="J44" t="s">
        <v>217</v>
      </c>
    </row>
    <row r="45" spans="1:10" x14ac:dyDescent="0.3">
      <c r="A45" t="s">
        <v>99</v>
      </c>
      <c r="B45" t="s">
        <v>100</v>
      </c>
      <c r="C45" t="s">
        <v>41</v>
      </c>
      <c r="D45">
        <v>15</v>
      </c>
      <c r="E45">
        <v>60</v>
      </c>
      <c r="F45">
        <f t="shared" ca="1" si="0"/>
        <v>826</v>
      </c>
      <c r="G45">
        <f t="shared" ca="1" si="1"/>
        <v>326</v>
      </c>
      <c r="H45">
        <v>15</v>
      </c>
      <c r="I45">
        <v>75</v>
      </c>
      <c r="J45" t="s">
        <v>217</v>
      </c>
    </row>
    <row r="46" spans="1:10" x14ac:dyDescent="0.3">
      <c r="A46" t="s">
        <v>101</v>
      </c>
      <c r="B46" t="s">
        <v>102</v>
      </c>
      <c r="C46" t="s">
        <v>38</v>
      </c>
      <c r="D46">
        <v>100</v>
      </c>
      <c r="E46">
        <v>300</v>
      </c>
      <c r="F46">
        <f t="shared" ca="1" si="0"/>
        <v>784</v>
      </c>
      <c r="G46">
        <f t="shared" ca="1" si="1"/>
        <v>444</v>
      </c>
      <c r="H46">
        <v>80</v>
      </c>
      <c r="I46">
        <v>400</v>
      </c>
      <c r="J46" t="s">
        <v>217</v>
      </c>
    </row>
    <row r="47" spans="1:10" x14ac:dyDescent="0.3">
      <c r="A47" t="s">
        <v>103</v>
      </c>
      <c r="B47" t="s">
        <v>104</v>
      </c>
      <c r="C47" t="s">
        <v>45</v>
      </c>
      <c r="D47">
        <v>300</v>
      </c>
      <c r="E47">
        <v>800</v>
      </c>
      <c r="F47">
        <f t="shared" ca="1" si="0"/>
        <v>756</v>
      </c>
      <c r="G47">
        <f t="shared" ca="1" si="1"/>
        <v>353</v>
      </c>
      <c r="H47">
        <v>200</v>
      </c>
      <c r="I47">
        <v>1100</v>
      </c>
      <c r="J47" t="s">
        <v>217</v>
      </c>
    </row>
    <row r="48" spans="1:10" x14ac:dyDescent="0.3">
      <c r="A48" t="s">
        <v>105</v>
      </c>
      <c r="B48" t="s">
        <v>106</v>
      </c>
      <c r="C48" t="s">
        <v>41</v>
      </c>
      <c r="D48">
        <v>50</v>
      </c>
      <c r="E48">
        <v>150</v>
      </c>
      <c r="F48">
        <f t="shared" ca="1" si="0"/>
        <v>722</v>
      </c>
      <c r="G48">
        <f t="shared" ca="1" si="1"/>
        <v>271</v>
      </c>
      <c r="H48">
        <v>30</v>
      </c>
      <c r="I48">
        <v>200</v>
      </c>
      <c r="J48" t="s">
        <v>217</v>
      </c>
    </row>
    <row r="49" spans="1:10" x14ac:dyDescent="0.3">
      <c r="A49" t="s">
        <v>107</v>
      </c>
      <c r="B49" t="s">
        <v>108</v>
      </c>
      <c r="C49" t="s">
        <v>41</v>
      </c>
      <c r="D49">
        <v>40</v>
      </c>
      <c r="E49">
        <v>120</v>
      </c>
      <c r="F49">
        <f t="shared" ca="1" si="0"/>
        <v>911</v>
      </c>
      <c r="G49">
        <f t="shared" ca="1" si="1"/>
        <v>388</v>
      </c>
      <c r="H49">
        <v>30</v>
      </c>
      <c r="I49">
        <v>160</v>
      </c>
      <c r="J49" t="s">
        <v>217</v>
      </c>
    </row>
    <row r="50" spans="1:10" x14ac:dyDescent="0.3">
      <c r="A50" t="s">
        <v>109</v>
      </c>
      <c r="B50" t="s">
        <v>110</v>
      </c>
      <c r="C50" t="s">
        <v>41</v>
      </c>
      <c r="D50">
        <v>10</v>
      </c>
      <c r="E50">
        <v>40</v>
      </c>
      <c r="F50">
        <f t="shared" ca="1" si="0"/>
        <v>887</v>
      </c>
      <c r="G50">
        <f t="shared" ca="1" si="1"/>
        <v>227</v>
      </c>
      <c r="H50">
        <v>10</v>
      </c>
      <c r="I50">
        <v>50</v>
      </c>
      <c r="J50" t="s">
        <v>217</v>
      </c>
    </row>
    <row r="51" spans="1:10" x14ac:dyDescent="0.3">
      <c r="A51" t="s">
        <v>111</v>
      </c>
      <c r="B51" t="s">
        <v>214</v>
      </c>
      <c r="C51" t="s">
        <v>41</v>
      </c>
      <c r="D51">
        <v>5</v>
      </c>
      <c r="E51">
        <v>25</v>
      </c>
      <c r="F51">
        <f t="shared" ca="1" si="0"/>
        <v>578</v>
      </c>
      <c r="G51">
        <f t="shared" ca="1" si="1"/>
        <v>245</v>
      </c>
      <c r="H51">
        <v>5</v>
      </c>
      <c r="I51">
        <v>30</v>
      </c>
      <c r="J51" t="s">
        <v>217</v>
      </c>
    </row>
    <row r="52" spans="1:10" x14ac:dyDescent="0.3">
      <c r="A52" t="s">
        <v>113</v>
      </c>
      <c r="B52" t="s">
        <v>114</v>
      </c>
      <c r="C52" t="s">
        <v>38</v>
      </c>
      <c r="D52">
        <v>120</v>
      </c>
      <c r="E52">
        <v>450</v>
      </c>
      <c r="F52">
        <f t="shared" ca="1" si="0"/>
        <v>700</v>
      </c>
      <c r="G52">
        <f t="shared" ca="1" si="1"/>
        <v>273</v>
      </c>
      <c r="H52">
        <v>100</v>
      </c>
      <c r="I52">
        <v>570</v>
      </c>
      <c r="J52" t="s">
        <v>217</v>
      </c>
    </row>
    <row r="53" spans="1:10" x14ac:dyDescent="0.3">
      <c r="A53" t="s">
        <v>115</v>
      </c>
      <c r="B53" t="s">
        <v>116</v>
      </c>
      <c r="C53" t="s">
        <v>38</v>
      </c>
      <c r="D53">
        <v>200</v>
      </c>
      <c r="E53">
        <v>600</v>
      </c>
      <c r="F53">
        <f t="shared" ca="1" si="0"/>
        <v>635</v>
      </c>
      <c r="G53">
        <f t="shared" ca="1" si="1"/>
        <v>217</v>
      </c>
      <c r="H53">
        <v>150</v>
      </c>
      <c r="I53">
        <v>800</v>
      </c>
      <c r="J53" t="s">
        <v>217</v>
      </c>
    </row>
    <row r="54" spans="1:10" x14ac:dyDescent="0.3">
      <c r="A54" t="s">
        <v>117</v>
      </c>
      <c r="B54" t="s">
        <v>118</v>
      </c>
      <c r="C54" t="s">
        <v>40</v>
      </c>
      <c r="D54">
        <v>500</v>
      </c>
      <c r="E54">
        <v>1500</v>
      </c>
      <c r="F54">
        <f t="shared" ca="1" si="0"/>
        <v>838</v>
      </c>
      <c r="G54">
        <f t="shared" ca="1" si="1"/>
        <v>462</v>
      </c>
      <c r="H54">
        <v>400</v>
      </c>
      <c r="I54">
        <v>2000</v>
      </c>
      <c r="J54" t="s">
        <v>217</v>
      </c>
    </row>
    <row r="55" spans="1:10" x14ac:dyDescent="0.3">
      <c r="A55" t="s">
        <v>119</v>
      </c>
      <c r="B55" t="s">
        <v>120</v>
      </c>
      <c r="C55" t="s">
        <v>45</v>
      </c>
      <c r="D55">
        <v>1000</v>
      </c>
      <c r="E55">
        <v>2500</v>
      </c>
      <c r="F55">
        <f t="shared" ca="1" si="0"/>
        <v>605</v>
      </c>
      <c r="G55">
        <f t="shared" ca="1" si="1"/>
        <v>454</v>
      </c>
      <c r="H55">
        <v>800</v>
      </c>
      <c r="I55">
        <v>3500</v>
      </c>
      <c r="J55" t="s">
        <v>217</v>
      </c>
    </row>
    <row r="56" spans="1:10" x14ac:dyDescent="0.3">
      <c r="A56" t="s">
        <v>121</v>
      </c>
      <c r="B56" t="s">
        <v>122</v>
      </c>
      <c r="C56" t="s">
        <v>45</v>
      </c>
      <c r="D56">
        <v>400</v>
      </c>
      <c r="E56">
        <v>1000</v>
      </c>
      <c r="F56">
        <f t="shared" ca="1" si="0"/>
        <v>526</v>
      </c>
      <c r="G56">
        <f t="shared" ca="1" si="1"/>
        <v>456</v>
      </c>
      <c r="H56">
        <v>200</v>
      </c>
      <c r="I56">
        <v>1400</v>
      </c>
      <c r="J56" t="s">
        <v>217</v>
      </c>
    </row>
    <row r="57" spans="1:10" x14ac:dyDescent="0.3">
      <c r="A57" t="s">
        <v>123</v>
      </c>
      <c r="B57" t="s">
        <v>124</v>
      </c>
      <c r="C57" t="s">
        <v>41</v>
      </c>
      <c r="D57">
        <v>2</v>
      </c>
      <c r="E57">
        <v>10</v>
      </c>
      <c r="F57">
        <f t="shared" ca="1" si="0"/>
        <v>502</v>
      </c>
      <c r="G57">
        <f t="shared" ca="1" si="1"/>
        <v>238</v>
      </c>
      <c r="H57">
        <v>3</v>
      </c>
      <c r="I57">
        <v>12</v>
      </c>
      <c r="J57" t="s">
        <v>217</v>
      </c>
    </row>
    <row r="58" spans="1:10" x14ac:dyDescent="0.3">
      <c r="A58" t="s">
        <v>125</v>
      </c>
      <c r="B58" t="s">
        <v>126</v>
      </c>
      <c r="C58" t="s">
        <v>41</v>
      </c>
      <c r="D58">
        <v>20</v>
      </c>
      <c r="E58">
        <v>80</v>
      </c>
      <c r="F58">
        <f t="shared" ca="1" si="0"/>
        <v>501</v>
      </c>
      <c r="G58">
        <f t="shared" ca="1" si="1"/>
        <v>433</v>
      </c>
      <c r="H58">
        <v>20</v>
      </c>
      <c r="I58">
        <v>100</v>
      </c>
      <c r="J58" t="s">
        <v>217</v>
      </c>
    </row>
    <row r="59" spans="1:10" x14ac:dyDescent="0.3">
      <c r="A59" t="s">
        <v>127</v>
      </c>
      <c r="B59" t="s">
        <v>128</v>
      </c>
      <c r="C59" t="s">
        <v>40</v>
      </c>
      <c r="D59">
        <v>2000</v>
      </c>
      <c r="E59">
        <v>5000</v>
      </c>
      <c r="F59">
        <f t="shared" ca="1" si="0"/>
        <v>533</v>
      </c>
      <c r="G59">
        <f t="shared" ca="1" si="1"/>
        <v>412</v>
      </c>
      <c r="H59">
        <v>1000</v>
      </c>
      <c r="I59">
        <v>7000</v>
      </c>
      <c r="J59" t="s">
        <v>217</v>
      </c>
    </row>
    <row r="60" spans="1:10" x14ac:dyDescent="0.3">
      <c r="A60" t="s">
        <v>129</v>
      </c>
      <c r="B60" t="s">
        <v>130</v>
      </c>
      <c r="C60" t="s">
        <v>41</v>
      </c>
      <c r="D60">
        <v>5000</v>
      </c>
      <c r="E60">
        <v>15000</v>
      </c>
      <c r="F60">
        <f t="shared" ca="1" si="0"/>
        <v>887</v>
      </c>
      <c r="G60">
        <f t="shared" ca="1" si="1"/>
        <v>339</v>
      </c>
      <c r="H60">
        <v>3000</v>
      </c>
      <c r="I60">
        <v>20000</v>
      </c>
      <c r="J60" t="s">
        <v>217</v>
      </c>
    </row>
    <row r="61" spans="1:10" x14ac:dyDescent="0.3">
      <c r="A61" t="s">
        <v>131</v>
      </c>
      <c r="B61" t="s">
        <v>132</v>
      </c>
      <c r="C61" t="s">
        <v>42</v>
      </c>
      <c r="D61">
        <v>50</v>
      </c>
      <c r="E61">
        <v>200</v>
      </c>
      <c r="F61">
        <f t="shared" ca="1" si="0"/>
        <v>990</v>
      </c>
      <c r="G61">
        <f t="shared" ca="1" si="1"/>
        <v>290</v>
      </c>
      <c r="H61">
        <v>40</v>
      </c>
      <c r="I61">
        <v>250</v>
      </c>
      <c r="J61" t="s">
        <v>217</v>
      </c>
    </row>
    <row r="62" spans="1:10" x14ac:dyDescent="0.3">
      <c r="A62" t="s">
        <v>133</v>
      </c>
      <c r="B62" t="s">
        <v>134</v>
      </c>
      <c r="C62" t="s">
        <v>38</v>
      </c>
      <c r="D62">
        <v>180</v>
      </c>
      <c r="E62">
        <v>500</v>
      </c>
      <c r="F62">
        <f t="shared" ca="1" si="0"/>
        <v>899</v>
      </c>
      <c r="G62">
        <f t="shared" ca="1" si="1"/>
        <v>216</v>
      </c>
      <c r="H62">
        <v>120</v>
      </c>
      <c r="I62">
        <v>680</v>
      </c>
      <c r="J62" t="s">
        <v>217</v>
      </c>
    </row>
    <row r="63" spans="1:10" x14ac:dyDescent="0.3">
      <c r="A63" t="s">
        <v>135</v>
      </c>
      <c r="B63" t="s">
        <v>136</v>
      </c>
      <c r="C63" t="s">
        <v>38</v>
      </c>
      <c r="D63">
        <v>250</v>
      </c>
      <c r="E63">
        <v>700</v>
      </c>
      <c r="F63">
        <f t="shared" ca="1" si="0"/>
        <v>979</v>
      </c>
      <c r="G63">
        <f t="shared" ca="1" si="1"/>
        <v>351</v>
      </c>
      <c r="H63">
        <v>200</v>
      </c>
      <c r="I63">
        <v>950</v>
      </c>
      <c r="J63" t="s">
        <v>217</v>
      </c>
    </row>
    <row r="64" spans="1:10" x14ac:dyDescent="0.3">
      <c r="A64" t="s">
        <v>137</v>
      </c>
      <c r="B64" t="s">
        <v>138</v>
      </c>
      <c r="C64" t="s">
        <v>38</v>
      </c>
      <c r="D64">
        <v>50</v>
      </c>
      <c r="E64">
        <v>150</v>
      </c>
      <c r="F64">
        <f t="shared" ca="1" si="0"/>
        <v>897</v>
      </c>
      <c r="G64">
        <f t="shared" ca="1" si="1"/>
        <v>482</v>
      </c>
      <c r="H64">
        <v>40</v>
      </c>
      <c r="I64">
        <v>200</v>
      </c>
      <c r="J64" t="s">
        <v>217</v>
      </c>
    </row>
    <row r="65" spans="1:10" x14ac:dyDescent="0.3">
      <c r="A65" t="s">
        <v>139</v>
      </c>
      <c r="B65" t="s">
        <v>140</v>
      </c>
      <c r="C65" t="s">
        <v>40</v>
      </c>
      <c r="D65">
        <v>400</v>
      </c>
      <c r="E65">
        <v>1200</v>
      </c>
      <c r="F65">
        <f t="shared" ca="1" si="0"/>
        <v>705</v>
      </c>
      <c r="G65">
        <f t="shared" ca="1" si="1"/>
        <v>388</v>
      </c>
      <c r="H65">
        <v>1800</v>
      </c>
      <c r="I65">
        <v>1600</v>
      </c>
      <c r="J65" t="s">
        <v>216</v>
      </c>
    </row>
    <row r="66" spans="1:10" x14ac:dyDescent="0.3">
      <c r="A66" t="s">
        <v>141</v>
      </c>
      <c r="B66" t="s">
        <v>142</v>
      </c>
      <c r="C66" t="s">
        <v>45</v>
      </c>
      <c r="D66">
        <v>100</v>
      </c>
      <c r="E66">
        <v>400</v>
      </c>
      <c r="F66">
        <f t="shared" ca="1" si="0"/>
        <v>942</v>
      </c>
      <c r="G66">
        <f t="shared" ca="1" si="1"/>
        <v>363</v>
      </c>
      <c r="H66">
        <v>80</v>
      </c>
      <c r="I66">
        <v>500</v>
      </c>
      <c r="J66" t="s">
        <v>217</v>
      </c>
    </row>
    <row r="67" spans="1:10" x14ac:dyDescent="0.3">
      <c r="A67" t="s">
        <v>143</v>
      </c>
      <c r="B67" t="s">
        <v>144</v>
      </c>
      <c r="C67" t="s">
        <v>40</v>
      </c>
      <c r="D67">
        <v>2000</v>
      </c>
      <c r="E67">
        <v>6000</v>
      </c>
      <c r="F67">
        <f t="shared" ref="F67:F101" ca="1" si="2">RANDBETWEEN(500,1000)</f>
        <v>967</v>
      </c>
      <c r="G67">
        <f t="shared" ref="G67:G101" ca="1" si="3">RANDBETWEEN(200,499)</f>
        <v>454</v>
      </c>
      <c r="H67">
        <v>1000</v>
      </c>
      <c r="I67">
        <v>8000</v>
      </c>
      <c r="J67" t="s">
        <v>217</v>
      </c>
    </row>
    <row r="68" spans="1:10" x14ac:dyDescent="0.3">
      <c r="A68" t="s">
        <v>145</v>
      </c>
      <c r="B68" t="s">
        <v>146</v>
      </c>
      <c r="C68" t="s">
        <v>45</v>
      </c>
      <c r="D68">
        <v>800</v>
      </c>
      <c r="E68">
        <v>2500</v>
      </c>
      <c r="F68">
        <f t="shared" ca="1" si="2"/>
        <v>692</v>
      </c>
      <c r="G68">
        <f t="shared" ca="1" si="3"/>
        <v>365</v>
      </c>
      <c r="H68">
        <v>500</v>
      </c>
      <c r="I68">
        <v>3300</v>
      </c>
      <c r="J68" t="s">
        <v>217</v>
      </c>
    </row>
    <row r="69" spans="1:10" x14ac:dyDescent="0.3">
      <c r="A69" t="s">
        <v>147</v>
      </c>
      <c r="B69" t="s">
        <v>148</v>
      </c>
      <c r="C69" t="s">
        <v>45</v>
      </c>
      <c r="D69">
        <v>300</v>
      </c>
      <c r="E69">
        <v>900</v>
      </c>
      <c r="F69">
        <f t="shared" ca="1" si="2"/>
        <v>762</v>
      </c>
      <c r="G69">
        <f t="shared" ca="1" si="3"/>
        <v>379</v>
      </c>
      <c r="H69">
        <v>200</v>
      </c>
      <c r="I69">
        <v>1200</v>
      </c>
      <c r="J69" t="s">
        <v>217</v>
      </c>
    </row>
    <row r="70" spans="1:10" x14ac:dyDescent="0.3">
      <c r="A70" t="s">
        <v>149</v>
      </c>
      <c r="B70" t="s">
        <v>150</v>
      </c>
      <c r="C70" t="s">
        <v>41</v>
      </c>
      <c r="D70">
        <v>30</v>
      </c>
      <c r="E70">
        <v>120</v>
      </c>
      <c r="F70">
        <f t="shared" ca="1" si="2"/>
        <v>539</v>
      </c>
      <c r="G70">
        <f t="shared" ca="1" si="3"/>
        <v>270</v>
      </c>
      <c r="H70">
        <v>25</v>
      </c>
      <c r="I70">
        <v>150</v>
      </c>
      <c r="J70" t="s">
        <v>217</v>
      </c>
    </row>
    <row r="71" spans="1:10" x14ac:dyDescent="0.3">
      <c r="A71" t="s">
        <v>151</v>
      </c>
      <c r="B71" t="s">
        <v>152</v>
      </c>
      <c r="C71" t="s">
        <v>41</v>
      </c>
      <c r="D71">
        <v>15</v>
      </c>
      <c r="E71">
        <v>60</v>
      </c>
      <c r="F71">
        <f t="shared" ca="1" si="2"/>
        <v>732</v>
      </c>
      <c r="G71">
        <f t="shared" ca="1" si="3"/>
        <v>286</v>
      </c>
      <c r="H71">
        <v>15</v>
      </c>
      <c r="I71">
        <v>75</v>
      </c>
      <c r="J71" t="s">
        <v>217</v>
      </c>
    </row>
    <row r="72" spans="1:10" x14ac:dyDescent="0.3">
      <c r="A72" t="s">
        <v>153</v>
      </c>
      <c r="B72" t="s">
        <v>154</v>
      </c>
      <c r="C72" t="s">
        <v>41</v>
      </c>
      <c r="D72">
        <v>10</v>
      </c>
      <c r="E72">
        <v>45</v>
      </c>
      <c r="F72">
        <f t="shared" ca="1" si="2"/>
        <v>551</v>
      </c>
      <c r="G72">
        <f t="shared" ca="1" si="3"/>
        <v>233</v>
      </c>
      <c r="H72">
        <v>10</v>
      </c>
      <c r="I72">
        <v>55</v>
      </c>
      <c r="J72" t="s">
        <v>217</v>
      </c>
    </row>
    <row r="73" spans="1:10" x14ac:dyDescent="0.3">
      <c r="A73" t="s">
        <v>155</v>
      </c>
      <c r="B73" t="s">
        <v>156</v>
      </c>
      <c r="C73" t="s">
        <v>41</v>
      </c>
      <c r="D73">
        <v>40</v>
      </c>
      <c r="E73">
        <v>150</v>
      </c>
      <c r="F73">
        <f t="shared" ca="1" si="2"/>
        <v>934</v>
      </c>
      <c r="G73">
        <f t="shared" ca="1" si="3"/>
        <v>473</v>
      </c>
      <c r="H73">
        <v>30</v>
      </c>
      <c r="I73">
        <v>190</v>
      </c>
      <c r="J73" t="s">
        <v>217</v>
      </c>
    </row>
    <row r="74" spans="1:10" x14ac:dyDescent="0.3">
      <c r="A74" t="s">
        <v>157</v>
      </c>
      <c r="B74" t="s">
        <v>158</v>
      </c>
      <c r="C74" t="s">
        <v>41</v>
      </c>
      <c r="D74">
        <v>20</v>
      </c>
      <c r="E74">
        <v>100</v>
      </c>
      <c r="F74">
        <f t="shared" ca="1" si="2"/>
        <v>810</v>
      </c>
      <c r="G74">
        <f t="shared" ca="1" si="3"/>
        <v>362</v>
      </c>
      <c r="H74">
        <v>25</v>
      </c>
      <c r="I74">
        <v>120</v>
      </c>
      <c r="J74" t="s">
        <v>217</v>
      </c>
    </row>
    <row r="75" spans="1:10" x14ac:dyDescent="0.3">
      <c r="A75" t="s">
        <v>159</v>
      </c>
      <c r="B75" t="s">
        <v>160</v>
      </c>
      <c r="C75" t="s">
        <v>41</v>
      </c>
      <c r="D75">
        <v>100</v>
      </c>
      <c r="E75">
        <v>500</v>
      </c>
      <c r="F75">
        <f t="shared" ca="1" si="2"/>
        <v>502</v>
      </c>
      <c r="G75">
        <f t="shared" ca="1" si="3"/>
        <v>489</v>
      </c>
      <c r="H75">
        <v>100</v>
      </c>
      <c r="I75">
        <v>600</v>
      </c>
      <c r="J75" t="s">
        <v>217</v>
      </c>
    </row>
    <row r="76" spans="1:10" x14ac:dyDescent="0.3">
      <c r="A76" t="s">
        <v>161</v>
      </c>
      <c r="B76" t="s">
        <v>162</v>
      </c>
      <c r="C76" t="s">
        <v>41</v>
      </c>
      <c r="D76">
        <v>5</v>
      </c>
      <c r="E76">
        <v>20</v>
      </c>
      <c r="F76">
        <f t="shared" ca="1" si="2"/>
        <v>543</v>
      </c>
      <c r="G76">
        <f t="shared" ca="1" si="3"/>
        <v>481</v>
      </c>
      <c r="H76">
        <v>5</v>
      </c>
      <c r="I76">
        <v>25</v>
      </c>
      <c r="J76" t="s">
        <v>217</v>
      </c>
    </row>
    <row r="77" spans="1:10" x14ac:dyDescent="0.3">
      <c r="A77" t="s">
        <v>163</v>
      </c>
      <c r="B77" t="s">
        <v>164</v>
      </c>
      <c r="C77" t="s">
        <v>41</v>
      </c>
      <c r="D77">
        <v>12</v>
      </c>
      <c r="E77">
        <v>50</v>
      </c>
      <c r="F77">
        <f t="shared" ca="1" si="2"/>
        <v>742</v>
      </c>
      <c r="G77">
        <f t="shared" ca="1" si="3"/>
        <v>217</v>
      </c>
      <c r="H77">
        <v>10</v>
      </c>
      <c r="I77">
        <v>62</v>
      </c>
      <c r="J77" t="s">
        <v>217</v>
      </c>
    </row>
    <row r="78" spans="1:10" x14ac:dyDescent="0.3">
      <c r="A78" t="s">
        <v>165</v>
      </c>
      <c r="B78" t="s">
        <v>166</v>
      </c>
      <c r="C78" t="s">
        <v>41</v>
      </c>
      <c r="D78">
        <v>6</v>
      </c>
      <c r="E78">
        <v>25</v>
      </c>
      <c r="F78">
        <f t="shared" ca="1" si="2"/>
        <v>874</v>
      </c>
      <c r="G78">
        <f t="shared" ca="1" si="3"/>
        <v>262</v>
      </c>
      <c r="H78">
        <v>8</v>
      </c>
      <c r="I78">
        <v>31</v>
      </c>
      <c r="J78" t="s">
        <v>217</v>
      </c>
    </row>
    <row r="79" spans="1:10" x14ac:dyDescent="0.3">
      <c r="A79" t="s">
        <v>167</v>
      </c>
      <c r="B79" t="s">
        <v>168</v>
      </c>
      <c r="C79" t="s">
        <v>41</v>
      </c>
      <c r="D79">
        <v>100</v>
      </c>
      <c r="E79">
        <v>400</v>
      </c>
      <c r="F79">
        <f t="shared" ca="1" si="2"/>
        <v>514</v>
      </c>
      <c r="G79">
        <f t="shared" ca="1" si="3"/>
        <v>265</v>
      </c>
      <c r="H79">
        <v>80</v>
      </c>
      <c r="I79">
        <v>500</v>
      </c>
      <c r="J79" t="s">
        <v>217</v>
      </c>
    </row>
    <row r="80" spans="1:10" x14ac:dyDescent="0.3">
      <c r="A80" t="s">
        <v>169</v>
      </c>
      <c r="B80" t="s">
        <v>170</v>
      </c>
      <c r="C80" t="s">
        <v>41</v>
      </c>
      <c r="D80">
        <v>50</v>
      </c>
      <c r="E80">
        <v>200</v>
      </c>
      <c r="F80">
        <f t="shared" ca="1" si="2"/>
        <v>555</v>
      </c>
      <c r="G80">
        <f t="shared" ca="1" si="3"/>
        <v>244</v>
      </c>
      <c r="H80">
        <v>40</v>
      </c>
      <c r="I80">
        <v>250</v>
      </c>
      <c r="J80" t="s">
        <v>217</v>
      </c>
    </row>
    <row r="81" spans="1:10" x14ac:dyDescent="0.3">
      <c r="A81" t="s">
        <v>171</v>
      </c>
      <c r="B81" t="s">
        <v>172</v>
      </c>
      <c r="C81" t="s">
        <v>41</v>
      </c>
      <c r="D81">
        <v>8</v>
      </c>
      <c r="E81">
        <v>30</v>
      </c>
      <c r="F81">
        <f t="shared" ca="1" si="2"/>
        <v>908</v>
      </c>
      <c r="G81">
        <f t="shared" ca="1" si="3"/>
        <v>373</v>
      </c>
      <c r="H81">
        <v>5</v>
      </c>
      <c r="I81">
        <v>38</v>
      </c>
      <c r="J81" t="s">
        <v>217</v>
      </c>
    </row>
    <row r="82" spans="1:10" x14ac:dyDescent="0.3">
      <c r="A82" t="s">
        <v>173</v>
      </c>
      <c r="B82" t="s">
        <v>174</v>
      </c>
      <c r="C82" t="s">
        <v>38</v>
      </c>
      <c r="D82">
        <v>60</v>
      </c>
      <c r="E82">
        <v>200</v>
      </c>
      <c r="F82">
        <f t="shared" ca="1" si="2"/>
        <v>585</v>
      </c>
      <c r="G82">
        <f t="shared" ca="1" si="3"/>
        <v>319</v>
      </c>
      <c r="H82">
        <v>40</v>
      </c>
      <c r="I82">
        <v>260</v>
      </c>
      <c r="J82" t="s">
        <v>217</v>
      </c>
    </row>
    <row r="83" spans="1:10" x14ac:dyDescent="0.3">
      <c r="A83" t="s">
        <v>175</v>
      </c>
      <c r="B83" t="s">
        <v>176</v>
      </c>
      <c r="C83" t="s">
        <v>38</v>
      </c>
      <c r="D83">
        <v>90</v>
      </c>
      <c r="E83">
        <v>300</v>
      </c>
      <c r="F83">
        <f t="shared" ca="1" si="2"/>
        <v>620</v>
      </c>
      <c r="G83">
        <f t="shared" ca="1" si="3"/>
        <v>480</v>
      </c>
      <c r="H83">
        <v>60</v>
      </c>
      <c r="I83">
        <v>390</v>
      </c>
      <c r="J83" t="s">
        <v>217</v>
      </c>
    </row>
    <row r="84" spans="1:10" x14ac:dyDescent="0.3">
      <c r="A84" t="s">
        <v>177</v>
      </c>
      <c r="B84" t="s">
        <v>178</v>
      </c>
      <c r="C84" t="s">
        <v>38</v>
      </c>
      <c r="D84">
        <v>150</v>
      </c>
      <c r="E84">
        <v>450</v>
      </c>
      <c r="F84">
        <f t="shared" ca="1" si="2"/>
        <v>652</v>
      </c>
      <c r="G84">
        <f t="shared" ca="1" si="3"/>
        <v>367</v>
      </c>
      <c r="H84">
        <v>100</v>
      </c>
      <c r="I84">
        <v>600</v>
      </c>
      <c r="J84" t="s">
        <v>217</v>
      </c>
    </row>
    <row r="85" spans="1:10" x14ac:dyDescent="0.3">
      <c r="A85" t="s">
        <v>179</v>
      </c>
      <c r="B85" t="s">
        <v>180</v>
      </c>
      <c r="C85" t="s">
        <v>38</v>
      </c>
      <c r="D85">
        <v>80</v>
      </c>
      <c r="E85">
        <v>300</v>
      </c>
      <c r="F85">
        <f t="shared" ca="1" si="2"/>
        <v>895</v>
      </c>
      <c r="G85">
        <f t="shared" ca="1" si="3"/>
        <v>310</v>
      </c>
      <c r="H85">
        <v>50</v>
      </c>
      <c r="I85">
        <v>380</v>
      </c>
      <c r="J85" t="s">
        <v>217</v>
      </c>
    </row>
    <row r="86" spans="1:10" x14ac:dyDescent="0.3">
      <c r="A86" t="s">
        <v>181</v>
      </c>
      <c r="B86" t="s">
        <v>182</v>
      </c>
      <c r="C86" t="s">
        <v>38</v>
      </c>
      <c r="D86">
        <v>40</v>
      </c>
      <c r="E86">
        <v>150</v>
      </c>
      <c r="F86">
        <f t="shared" ca="1" si="2"/>
        <v>607</v>
      </c>
      <c r="G86">
        <f t="shared" ca="1" si="3"/>
        <v>380</v>
      </c>
      <c r="H86">
        <v>30</v>
      </c>
      <c r="I86">
        <v>190</v>
      </c>
      <c r="J86" t="s">
        <v>217</v>
      </c>
    </row>
    <row r="87" spans="1:10" x14ac:dyDescent="0.3">
      <c r="A87" t="s">
        <v>183</v>
      </c>
      <c r="B87" t="s">
        <v>184</v>
      </c>
      <c r="C87" t="s">
        <v>41</v>
      </c>
      <c r="D87">
        <v>30</v>
      </c>
      <c r="E87">
        <v>120</v>
      </c>
      <c r="F87">
        <f t="shared" ca="1" si="2"/>
        <v>624</v>
      </c>
      <c r="G87">
        <f t="shared" ca="1" si="3"/>
        <v>209</v>
      </c>
      <c r="H87">
        <v>25</v>
      </c>
      <c r="I87">
        <v>150</v>
      </c>
      <c r="J87" t="s">
        <v>217</v>
      </c>
    </row>
    <row r="88" spans="1:10" x14ac:dyDescent="0.3">
      <c r="A88" t="s">
        <v>185</v>
      </c>
      <c r="B88" t="s">
        <v>186</v>
      </c>
      <c r="C88" t="s">
        <v>41</v>
      </c>
      <c r="D88">
        <v>25</v>
      </c>
      <c r="E88">
        <v>100</v>
      </c>
      <c r="F88">
        <f t="shared" ca="1" si="2"/>
        <v>818</v>
      </c>
      <c r="G88">
        <f t="shared" ca="1" si="3"/>
        <v>400</v>
      </c>
      <c r="H88">
        <v>20</v>
      </c>
      <c r="I88">
        <v>125</v>
      </c>
      <c r="J88" t="s">
        <v>217</v>
      </c>
    </row>
    <row r="89" spans="1:10" x14ac:dyDescent="0.3">
      <c r="A89" t="s">
        <v>187</v>
      </c>
      <c r="B89" t="s">
        <v>188</v>
      </c>
      <c r="C89" t="s">
        <v>41</v>
      </c>
      <c r="D89">
        <v>50</v>
      </c>
      <c r="E89">
        <v>200</v>
      </c>
      <c r="F89">
        <f t="shared" ca="1" si="2"/>
        <v>548</v>
      </c>
      <c r="G89">
        <f t="shared" ca="1" si="3"/>
        <v>273</v>
      </c>
      <c r="H89">
        <v>40</v>
      </c>
      <c r="I89">
        <v>250</v>
      </c>
      <c r="J89" t="s">
        <v>217</v>
      </c>
    </row>
    <row r="90" spans="1:10" x14ac:dyDescent="0.3">
      <c r="A90" t="s">
        <v>189</v>
      </c>
      <c r="B90" t="s">
        <v>190</v>
      </c>
      <c r="C90" t="s">
        <v>40</v>
      </c>
      <c r="D90">
        <v>200</v>
      </c>
      <c r="E90">
        <v>600</v>
      </c>
      <c r="F90">
        <f t="shared" ca="1" si="2"/>
        <v>514</v>
      </c>
      <c r="G90">
        <f t="shared" ca="1" si="3"/>
        <v>416</v>
      </c>
      <c r="H90">
        <v>150</v>
      </c>
      <c r="I90">
        <v>800</v>
      </c>
      <c r="J90" t="s">
        <v>217</v>
      </c>
    </row>
    <row r="91" spans="1:10" x14ac:dyDescent="0.3">
      <c r="A91" t="s">
        <v>191</v>
      </c>
      <c r="B91" t="s">
        <v>192</v>
      </c>
      <c r="C91" t="s">
        <v>40</v>
      </c>
      <c r="D91">
        <v>120</v>
      </c>
      <c r="E91">
        <v>400</v>
      </c>
      <c r="F91">
        <f t="shared" ca="1" si="2"/>
        <v>592</v>
      </c>
      <c r="G91">
        <f t="shared" ca="1" si="3"/>
        <v>351</v>
      </c>
      <c r="H91">
        <v>80</v>
      </c>
      <c r="I91">
        <v>520</v>
      </c>
      <c r="J91" t="s">
        <v>217</v>
      </c>
    </row>
    <row r="92" spans="1:10" x14ac:dyDescent="0.3">
      <c r="A92" t="s">
        <v>193</v>
      </c>
      <c r="B92" t="s">
        <v>194</v>
      </c>
      <c r="C92" t="s">
        <v>45</v>
      </c>
      <c r="D92">
        <v>500</v>
      </c>
      <c r="E92">
        <v>2000</v>
      </c>
      <c r="F92">
        <f t="shared" ca="1" si="2"/>
        <v>798</v>
      </c>
      <c r="G92">
        <f t="shared" ca="1" si="3"/>
        <v>497</v>
      </c>
      <c r="H92">
        <v>400</v>
      </c>
      <c r="I92">
        <v>2500</v>
      </c>
      <c r="J92" t="s">
        <v>217</v>
      </c>
    </row>
    <row r="93" spans="1:10" x14ac:dyDescent="0.3">
      <c r="A93" t="s">
        <v>195</v>
      </c>
      <c r="B93" t="s">
        <v>196</v>
      </c>
      <c r="C93" t="s">
        <v>45</v>
      </c>
      <c r="D93">
        <v>5000</v>
      </c>
      <c r="E93">
        <v>20000</v>
      </c>
      <c r="F93">
        <f t="shared" ca="1" si="2"/>
        <v>840</v>
      </c>
      <c r="G93">
        <f t="shared" ca="1" si="3"/>
        <v>490</v>
      </c>
      <c r="H93">
        <v>3000</v>
      </c>
      <c r="I93">
        <v>25000</v>
      </c>
      <c r="J93" t="s">
        <v>217</v>
      </c>
    </row>
    <row r="94" spans="1:10" x14ac:dyDescent="0.3">
      <c r="A94" t="s">
        <v>197</v>
      </c>
      <c r="B94" t="s">
        <v>198</v>
      </c>
      <c r="C94" t="s">
        <v>45</v>
      </c>
      <c r="D94">
        <v>40</v>
      </c>
      <c r="E94">
        <v>150</v>
      </c>
      <c r="F94">
        <f t="shared" ca="1" si="2"/>
        <v>969</v>
      </c>
      <c r="G94">
        <f t="shared" ca="1" si="3"/>
        <v>297</v>
      </c>
      <c r="H94">
        <v>30</v>
      </c>
      <c r="I94">
        <v>190</v>
      </c>
      <c r="J94" t="s">
        <v>217</v>
      </c>
    </row>
    <row r="95" spans="1:10" x14ac:dyDescent="0.3">
      <c r="A95" t="s">
        <v>199</v>
      </c>
      <c r="B95" t="s">
        <v>200</v>
      </c>
      <c r="C95" t="s">
        <v>38</v>
      </c>
      <c r="D95">
        <v>20</v>
      </c>
      <c r="E95">
        <v>100</v>
      </c>
      <c r="F95">
        <f t="shared" ca="1" si="2"/>
        <v>536</v>
      </c>
      <c r="G95">
        <f t="shared" ca="1" si="3"/>
        <v>342</v>
      </c>
      <c r="H95">
        <v>15</v>
      </c>
      <c r="I95">
        <v>120</v>
      </c>
      <c r="J95" t="s">
        <v>217</v>
      </c>
    </row>
    <row r="96" spans="1:10" x14ac:dyDescent="0.3">
      <c r="A96" t="s">
        <v>201</v>
      </c>
      <c r="B96" t="s">
        <v>202</v>
      </c>
      <c r="C96" t="s">
        <v>40</v>
      </c>
      <c r="D96">
        <v>150</v>
      </c>
      <c r="E96">
        <v>500</v>
      </c>
      <c r="F96">
        <f t="shared" ca="1" si="2"/>
        <v>648</v>
      </c>
      <c r="G96">
        <f t="shared" ca="1" si="3"/>
        <v>461</v>
      </c>
      <c r="H96">
        <v>100</v>
      </c>
      <c r="I96">
        <v>650</v>
      </c>
      <c r="J96" t="s">
        <v>217</v>
      </c>
    </row>
    <row r="97" spans="1:10" x14ac:dyDescent="0.3">
      <c r="A97" t="s">
        <v>203</v>
      </c>
      <c r="B97" t="s">
        <v>204</v>
      </c>
      <c r="C97" t="s">
        <v>41</v>
      </c>
      <c r="D97">
        <v>10</v>
      </c>
      <c r="E97">
        <v>40</v>
      </c>
      <c r="F97">
        <f t="shared" ca="1" si="2"/>
        <v>873</v>
      </c>
      <c r="G97">
        <f t="shared" ca="1" si="3"/>
        <v>231</v>
      </c>
      <c r="H97">
        <v>10</v>
      </c>
      <c r="I97">
        <v>50</v>
      </c>
      <c r="J97" t="s">
        <v>217</v>
      </c>
    </row>
    <row r="98" spans="1:10" x14ac:dyDescent="0.3">
      <c r="A98" t="s">
        <v>205</v>
      </c>
      <c r="B98" t="s">
        <v>206</v>
      </c>
      <c r="C98" t="s">
        <v>41</v>
      </c>
      <c r="D98">
        <v>4</v>
      </c>
      <c r="E98">
        <v>15</v>
      </c>
      <c r="F98">
        <f t="shared" ca="1" si="2"/>
        <v>673</v>
      </c>
      <c r="G98">
        <f t="shared" ca="1" si="3"/>
        <v>223</v>
      </c>
      <c r="H98">
        <v>5</v>
      </c>
      <c r="I98">
        <v>19</v>
      </c>
      <c r="J98" t="s">
        <v>217</v>
      </c>
    </row>
    <row r="99" spans="1:10" x14ac:dyDescent="0.3">
      <c r="A99" t="s">
        <v>207</v>
      </c>
      <c r="B99" t="s">
        <v>208</v>
      </c>
      <c r="C99" t="s">
        <v>41</v>
      </c>
      <c r="D99">
        <v>6</v>
      </c>
      <c r="E99">
        <v>25</v>
      </c>
      <c r="F99">
        <f t="shared" ca="1" si="2"/>
        <v>953</v>
      </c>
      <c r="G99">
        <f t="shared" ca="1" si="3"/>
        <v>307</v>
      </c>
      <c r="H99">
        <v>6</v>
      </c>
      <c r="I99">
        <v>31</v>
      </c>
      <c r="J99" t="s">
        <v>217</v>
      </c>
    </row>
    <row r="100" spans="1:10" x14ac:dyDescent="0.3">
      <c r="A100" t="s">
        <v>209</v>
      </c>
      <c r="B100" t="s">
        <v>210</v>
      </c>
      <c r="C100" t="s">
        <v>41</v>
      </c>
      <c r="D100">
        <v>8</v>
      </c>
      <c r="E100">
        <v>30</v>
      </c>
      <c r="F100">
        <f t="shared" ca="1" si="2"/>
        <v>809</v>
      </c>
      <c r="G100">
        <f t="shared" ca="1" si="3"/>
        <v>242</v>
      </c>
      <c r="H100">
        <v>8</v>
      </c>
      <c r="I100">
        <v>38</v>
      </c>
      <c r="J100" t="s">
        <v>217</v>
      </c>
    </row>
    <row r="101" spans="1:10" x14ac:dyDescent="0.3">
      <c r="A101" t="s">
        <v>211</v>
      </c>
      <c r="B101" t="s">
        <v>212</v>
      </c>
      <c r="C101" t="s">
        <v>42</v>
      </c>
      <c r="D101">
        <v>40</v>
      </c>
      <c r="E101">
        <v>150</v>
      </c>
      <c r="F101">
        <f t="shared" ca="1" si="2"/>
        <v>671</v>
      </c>
      <c r="G101">
        <f t="shared" ca="1" si="3"/>
        <v>330</v>
      </c>
      <c r="H101">
        <v>30</v>
      </c>
      <c r="I101">
        <v>190</v>
      </c>
      <c r="J10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4BED-E105-4EC0-8844-BD467CC6A187}">
  <dimension ref="A1:N101"/>
  <sheetViews>
    <sheetView tabSelected="1" workbookViewId="0">
      <selection activeCell="K6" sqref="K6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88671875" bestFit="1" customWidth="1"/>
    <col min="4" max="4" width="15.5546875" bestFit="1" customWidth="1"/>
    <col min="5" max="5" width="15" bestFit="1" customWidth="1"/>
    <col min="6" max="6" width="9.88671875" bestFit="1" customWidth="1"/>
    <col min="7" max="7" width="14.21875" bestFit="1" customWidth="1"/>
    <col min="8" max="8" width="11.33203125" bestFit="1" customWidth="1"/>
    <col min="9" max="9" width="10" bestFit="1" customWidth="1"/>
    <col min="10" max="10" width="14.6640625" bestFit="1" customWidth="1"/>
    <col min="11" max="11" width="17.88671875" bestFit="1" customWidth="1"/>
    <col min="12" max="12" width="17.77734375" bestFit="1" customWidth="1"/>
    <col min="13" max="13" width="14.33203125" style="12" bestFit="1" customWidth="1"/>
    <col min="14" max="14" width="20.554687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6</v>
      </c>
      <c r="H1" t="s">
        <v>218</v>
      </c>
      <c r="I1" t="s">
        <v>221</v>
      </c>
      <c r="J1" t="s">
        <v>213</v>
      </c>
      <c r="K1" t="s">
        <v>219</v>
      </c>
      <c r="L1" t="s">
        <v>222</v>
      </c>
      <c r="M1" s="12" t="s">
        <v>223</v>
      </c>
      <c r="N1" t="s">
        <v>220</v>
      </c>
    </row>
    <row r="2" spans="1:14" x14ac:dyDescent="0.3">
      <c r="A2" t="s">
        <v>8</v>
      </c>
      <c r="B2" t="s">
        <v>43</v>
      </c>
      <c r="C2" t="s">
        <v>38</v>
      </c>
      <c r="D2">
        <v>500</v>
      </c>
      <c r="E2">
        <v>1200</v>
      </c>
      <c r="F2">
        <v>300</v>
      </c>
      <c r="G2">
        <v>945</v>
      </c>
      <c r="H2">
        <v>340</v>
      </c>
      <c r="I2">
        <v>34</v>
      </c>
      <c r="J2">
        <v>1700</v>
      </c>
      <c r="K2">
        <v>578000</v>
      </c>
      <c r="L2">
        <f>(Table1__2_1[[#This Row],[Outunit Price]]-Table1__2_1[[#This Row],[Unit Price]])*Table1__2_1[[#This Row],[Current Stock]]</f>
        <v>1028500</v>
      </c>
      <c r="M2" s="12">
        <v>0.64021164021164001</v>
      </c>
      <c r="N2" t="s">
        <v>224</v>
      </c>
    </row>
    <row r="3" spans="1:14" x14ac:dyDescent="0.3">
      <c r="A3" t="s">
        <v>9</v>
      </c>
      <c r="B3" t="s">
        <v>39</v>
      </c>
      <c r="C3" t="s">
        <v>40</v>
      </c>
      <c r="D3">
        <v>1500</v>
      </c>
      <c r="E3">
        <v>3000</v>
      </c>
      <c r="F3">
        <v>500</v>
      </c>
      <c r="G3">
        <v>691</v>
      </c>
      <c r="H3">
        <v>444</v>
      </c>
      <c r="I3">
        <v>44.400000000000006</v>
      </c>
      <c r="J3">
        <v>4500</v>
      </c>
      <c r="K3">
        <v>1998000</v>
      </c>
      <c r="L3">
        <f>(Table1__2_1[[#This Row],[Outunit Price]]-Table1__2_1[[#This Row],[Unit Price]])*Table1__2_1[[#This Row],[Current Stock]]</f>
        <v>1111500</v>
      </c>
      <c r="M3" s="12">
        <v>0.35745296671490601</v>
      </c>
      <c r="N3" t="s">
        <v>224</v>
      </c>
    </row>
    <row r="4" spans="1:14" x14ac:dyDescent="0.3">
      <c r="A4" t="s">
        <v>10</v>
      </c>
      <c r="B4" t="s">
        <v>44</v>
      </c>
      <c r="C4" t="s">
        <v>45</v>
      </c>
      <c r="D4">
        <v>2000</v>
      </c>
      <c r="E4">
        <v>5000</v>
      </c>
      <c r="F4">
        <v>800</v>
      </c>
      <c r="G4">
        <v>548</v>
      </c>
      <c r="H4">
        <v>237</v>
      </c>
      <c r="I4">
        <v>23.700000000000003</v>
      </c>
      <c r="J4">
        <v>7000</v>
      </c>
      <c r="K4">
        <v>1659000</v>
      </c>
      <c r="L4">
        <f>(Table1__2_1[[#This Row],[Outunit Price]]-Table1__2_1[[#This Row],[Unit Price]])*Table1__2_1[[#This Row],[Current Stock]]</f>
        <v>2177000</v>
      </c>
      <c r="M4" s="12">
        <v>0.56751824817518204</v>
      </c>
      <c r="N4" t="s">
        <v>224</v>
      </c>
    </row>
    <row r="5" spans="1:14" x14ac:dyDescent="0.3">
      <c r="A5" t="s">
        <v>11</v>
      </c>
      <c r="B5" t="s">
        <v>46</v>
      </c>
      <c r="C5" t="s">
        <v>45</v>
      </c>
      <c r="D5">
        <v>10000</v>
      </c>
      <c r="E5">
        <v>25000</v>
      </c>
      <c r="F5">
        <v>2000</v>
      </c>
      <c r="G5">
        <v>692</v>
      </c>
      <c r="H5">
        <v>474</v>
      </c>
      <c r="I5">
        <v>47.400000000000006</v>
      </c>
      <c r="J5">
        <v>35000</v>
      </c>
      <c r="K5">
        <v>16590000</v>
      </c>
      <c r="L5">
        <f>(Table1__2_1[[#This Row],[Outunit Price]]-Table1__2_1[[#This Row],[Unit Price]])*Table1__2_1[[#This Row],[Current Stock]]</f>
        <v>7630000</v>
      </c>
      <c r="M5" s="12">
        <v>0.31502890173410403</v>
      </c>
      <c r="N5" t="s">
        <v>224</v>
      </c>
    </row>
    <row r="6" spans="1:14" x14ac:dyDescent="0.3">
      <c r="A6" t="s">
        <v>12</v>
      </c>
      <c r="B6" t="s">
        <v>47</v>
      </c>
      <c r="C6" t="s">
        <v>38</v>
      </c>
      <c r="D6">
        <v>200</v>
      </c>
      <c r="E6">
        <v>450</v>
      </c>
      <c r="F6">
        <v>100</v>
      </c>
      <c r="G6">
        <v>845</v>
      </c>
      <c r="H6">
        <v>300</v>
      </c>
      <c r="I6">
        <v>30</v>
      </c>
      <c r="J6">
        <v>650</v>
      </c>
      <c r="K6">
        <v>195000</v>
      </c>
      <c r="L6">
        <f>(Table1__2_1[[#This Row],[Outunit Price]]-Table1__2_1[[#This Row],[Unit Price]])*Table1__2_1[[#This Row],[Current Stock]]</f>
        <v>354250</v>
      </c>
      <c r="M6" s="12">
        <v>0.64497041420118295</v>
      </c>
      <c r="N6" t="s">
        <v>225</v>
      </c>
    </row>
    <row r="7" spans="1:14" x14ac:dyDescent="0.3">
      <c r="A7" t="s">
        <v>13</v>
      </c>
      <c r="B7" t="s">
        <v>48</v>
      </c>
      <c r="C7" t="s">
        <v>40</v>
      </c>
      <c r="D7">
        <v>800</v>
      </c>
      <c r="E7">
        <v>1500</v>
      </c>
      <c r="F7">
        <v>400</v>
      </c>
      <c r="G7">
        <v>620</v>
      </c>
      <c r="H7">
        <v>269</v>
      </c>
      <c r="I7">
        <v>26.900000000000002</v>
      </c>
      <c r="J7">
        <v>2300</v>
      </c>
      <c r="K7">
        <v>618700</v>
      </c>
      <c r="L7">
        <f>(Table1__2_1[[#This Row],[Outunit Price]]-Table1__2_1[[#This Row],[Unit Price]])*Table1__2_1[[#This Row],[Current Stock]]</f>
        <v>807300</v>
      </c>
      <c r="M7" s="12">
        <v>0.56612903225806399</v>
      </c>
      <c r="N7" t="s">
        <v>224</v>
      </c>
    </row>
    <row r="8" spans="1:14" x14ac:dyDescent="0.3">
      <c r="A8" t="s">
        <v>14</v>
      </c>
      <c r="B8" t="s">
        <v>49</v>
      </c>
      <c r="C8" t="s">
        <v>41</v>
      </c>
      <c r="D8">
        <v>50</v>
      </c>
      <c r="E8">
        <v>200</v>
      </c>
      <c r="F8">
        <v>30</v>
      </c>
      <c r="G8">
        <v>921</v>
      </c>
      <c r="H8">
        <v>300</v>
      </c>
      <c r="I8">
        <v>30</v>
      </c>
      <c r="J8">
        <v>250</v>
      </c>
      <c r="K8">
        <v>75000</v>
      </c>
      <c r="L8">
        <f>(Table1__2_1[[#This Row],[Outunit Price]]-Table1__2_1[[#This Row],[Unit Price]])*Table1__2_1[[#This Row],[Current Stock]]</f>
        <v>155250</v>
      </c>
      <c r="M8" s="12">
        <v>0.674267100977199</v>
      </c>
      <c r="N8" t="s">
        <v>226</v>
      </c>
    </row>
    <row r="9" spans="1:14" x14ac:dyDescent="0.3">
      <c r="A9" t="s">
        <v>15</v>
      </c>
      <c r="B9" t="s">
        <v>50</v>
      </c>
      <c r="C9" t="s">
        <v>42</v>
      </c>
      <c r="D9">
        <v>100</v>
      </c>
      <c r="E9">
        <v>300</v>
      </c>
      <c r="F9">
        <v>50</v>
      </c>
      <c r="G9">
        <v>745</v>
      </c>
      <c r="H9">
        <v>310</v>
      </c>
      <c r="I9">
        <v>31</v>
      </c>
      <c r="J9">
        <v>400</v>
      </c>
      <c r="K9">
        <v>124000</v>
      </c>
      <c r="L9">
        <f>(Table1__2_1[[#This Row],[Outunit Price]]-Table1__2_1[[#This Row],[Unit Price]])*Table1__2_1[[#This Row],[Current Stock]]</f>
        <v>174000</v>
      </c>
      <c r="M9" s="12">
        <v>0.58389261744966403</v>
      </c>
      <c r="N9" t="s">
        <v>225</v>
      </c>
    </row>
    <row r="10" spans="1:14" x14ac:dyDescent="0.3">
      <c r="A10" t="s">
        <v>16</v>
      </c>
      <c r="B10" t="s">
        <v>51</v>
      </c>
      <c r="C10" t="s">
        <v>40</v>
      </c>
      <c r="D10">
        <v>5000</v>
      </c>
      <c r="E10">
        <v>10000</v>
      </c>
      <c r="F10">
        <v>1000</v>
      </c>
      <c r="G10">
        <v>887</v>
      </c>
      <c r="H10">
        <v>478</v>
      </c>
      <c r="I10">
        <v>47.800000000000004</v>
      </c>
      <c r="J10">
        <v>15000</v>
      </c>
      <c r="K10">
        <v>7170000</v>
      </c>
      <c r="L10">
        <f>(Table1__2_1[[#This Row],[Outunit Price]]-Table1__2_1[[#This Row],[Unit Price]])*Table1__2_1[[#This Row],[Current Stock]]</f>
        <v>6135000</v>
      </c>
      <c r="M10" s="12">
        <v>0.46110484780157801</v>
      </c>
      <c r="N10" t="s">
        <v>224</v>
      </c>
    </row>
    <row r="11" spans="1:14" x14ac:dyDescent="0.3">
      <c r="A11" t="s">
        <v>17</v>
      </c>
      <c r="B11" t="s">
        <v>52</v>
      </c>
      <c r="C11" t="s">
        <v>42</v>
      </c>
      <c r="D11">
        <v>20000</v>
      </c>
      <c r="E11">
        <v>50000</v>
      </c>
      <c r="F11">
        <v>5000</v>
      </c>
      <c r="G11">
        <v>816</v>
      </c>
      <c r="H11">
        <v>444</v>
      </c>
      <c r="I11">
        <v>44.400000000000006</v>
      </c>
      <c r="J11">
        <v>70000</v>
      </c>
      <c r="K11">
        <v>31080000</v>
      </c>
      <c r="L11">
        <f>(Table1__2_1[[#This Row],[Outunit Price]]-Table1__2_1[[#This Row],[Unit Price]])*Table1__2_1[[#This Row],[Current Stock]]</f>
        <v>26040000</v>
      </c>
      <c r="M11" s="12">
        <v>0.45588235294117602</v>
      </c>
      <c r="N11" t="s">
        <v>224</v>
      </c>
    </row>
    <row r="12" spans="1:14" x14ac:dyDescent="0.3">
      <c r="A12" t="s">
        <v>18</v>
      </c>
      <c r="B12" t="s">
        <v>53</v>
      </c>
      <c r="C12" t="s">
        <v>38</v>
      </c>
      <c r="D12">
        <v>150</v>
      </c>
      <c r="E12">
        <v>400</v>
      </c>
      <c r="F12">
        <v>80</v>
      </c>
      <c r="G12">
        <v>599</v>
      </c>
      <c r="H12">
        <v>315</v>
      </c>
      <c r="I12">
        <v>31.5</v>
      </c>
      <c r="J12">
        <v>550</v>
      </c>
      <c r="K12">
        <v>173250</v>
      </c>
      <c r="L12">
        <f>(Table1__2_1[[#This Row],[Outunit Price]]-Table1__2_1[[#This Row],[Unit Price]])*Table1__2_1[[#This Row],[Current Stock]]</f>
        <v>156200</v>
      </c>
      <c r="M12" s="12">
        <v>0.47412353923205303</v>
      </c>
      <c r="N12" t="s">
        <v>225</v>
      </c>
    </row>
    <row r="13" spans="1:14" x14ac:dyDescent="0.3">
      <c r="A13" t="s">
        <v>19</v>
      </c>
      <c r="B13" t="s">
        <v>54</v>
      </c>
      <c r="C13" t="s">
        <v>38</v>
      </c>
      <c r="D13">
        <v>300</v>
      </c>
      <c r="E13">
        <v>800</v>
      </c>
      <c r="F13">
        <v>200</v>
      </c>
      <c r="G13">
        <v>900</v>
      </c>
      <c r="H13">
        <v>323</v>
      </c>
      <c r="I13">
        <v>32.300000000000004</v>
      </c>
      <c r="J13">
        <v>1100</v>
      </c>
      <c r="K13">
        <v>355300</v>
      </c>
      <c r="L13">
        <f>(Table1__2_1[[#This Row],[Outunit Price]]-Table1__2_1[[#This Row],[Unit Price]])*Table1__2_1[[#This Row],[Current Stock]]</f>
        <v>634700</v>
      </c>
      <c r="M13" s="12">
        <v>0.64111111111111097</v>
      </c>
      <c r="N13" t="s">
        <v>225</v>
      </c>
    </row>
    <row r="14" spans="1:14" x14ac:dyDescent="0.3">
      <c r="A14" t="s">
        <v>20</v>
      </c>
      <c r="B14" t="s">
        <v>55</v>
      </c>
      <c r="C14" t="s">
        <v>45</v>
      </c>
      <c r="D14">
        <v>3000</v>
      </c>
      <c r="E14">
        <v>7000</v>
      </c>
      <c r="F14">
        <v>1500</v>
      </c>
      <c r="G14">
        <v>619</v>
      </c>
      <c r="H14">
        <v>384</v>
      </c>
      <c r="I14">
        <v>38.400000000000006</v>
      </c>
      <c r="J14">
        <v>10000</v>
      </c>
      <c r="K14">
        <v>3840000</v>
      </c>
      <c r="L14">
        <f>(Table1__2_1[[#This Row],[Outunit Price]]-Table1__2_1[[#This Row],[Unit Price]])*Table1__2_1[[#This Row],[Current Stock]]</f>
        <v>2350000</v>
      </c>
      <c r="M14" s="12">
        <v>0.37964458804523399</v>
      </c>
      <c r="N14" t="s">
        <v>224</v>
      </c>
    </row>
    <row r="15" spans="1:14" x14ac:dyDescent="0.3">
      <c r="A15" t="s">
        <v>21</v>
      </c>
      <c r="B15" t="s">
        <v>56</v>
      </c>
      <c r="C15" t="s">
        <v>40</v>
      </c>
      <c r="D15">
        <v>400</v>
      </c>
      <c r="E15">
        <v>1000</v>
      </c>
      <c r="F15">
        <v>200</v>
      </c>
      <c r="G15">
        <v>519</v>
      </c>
      <c r="H15">
        <v>414</v>
      </c>
      <c r="I15">
        <v>41.400000000000006</v>
      </c>
      <c r="J15">
        <v>1400</v>
      </c>
      <c r="K15">
        <v>579600</v>
      </c>
      <c r="L15">
        <f>(Table1__2_1[[#This Row],[Outunit Price]]-Table1__2_1[[#This Row],[Unit Price]])*Table1__2_1[[#This Row],[Current Stock]]</f>
        <v>147000</v>
      </c>
      <c r="M15" s="12">
        <v>0.20231213872832399</v>
      </c>
      <c r="N15" t="s">
        <v>224</v>
      </c>
    </row>
    <row r="16" spans="1:14" x14ac:dyDescent="0.3">
      <c r="A16" t="s">
        <v>22</v>
      </c>
      <c r="B16" t="s">
        <v>57</v>
      </c>
      <c r="C16" t="s">
        <v>38</v>
      </c>
      <c r="D16">
        <v>600</v>
      </c>
      <c r="E16">
        <v>1200</v>
      </c>
      <c r="F16">
        <v>300</v>
      </c>
      <c r="G16">
        <v>541</v>
      </c>
      <c r="H16">
        <v>464</v>
      </c>
      <c r="I16">
        <v>46.400000000000006</v>
      </c>
      <c r="J16">
        <v>1800</v>
      </c>
      <c r="K16">
        <v>835200</v>
      </c>
      <c r="L16">
        <f>(Table1__2_1[[#This Row],[Outunit Price]]-Table1__2_1[[#This Row],[Unit Price]])*Table1__2_1[[#This Row],[Current Stock]]</f>
        <v>138600</v>
      </c>
      <c r="M16" s="12">
        <v>0.14232902033271699</v>
      </c>
      <c r="N16" t="s">
        <v>224</v>
      </c>
    </row>
    <row r="17" spans="1:14" x14ac:dyDescent="0.3">
      <c r="A17" t="s">
        <v>23</v>
      </c>
      <c r="B17" t="s">
        <v>58</v>
      </c>
      <c r="C17" t="s">
        <v>38</v>
      </c>
      <c r="D17">
        <v>250</v>
      </c>
      <c r="E17">
        <v>550</v>
      </c>
      <c r="F17">
        <v>150</v>
      </c>
      <c r="G17">
        <v>512</v>
      </c>
      <c r="H17">
        <v>258</v>
      </c>
      <c r="I17">
        <v>25.8</v>
      </c>
      <c r="J17">
        <v>800</v>
      </c>
      <c r="K17">
        <v>206400</v>
      </c>
      <c r="L17">
        <f>(Table1__2_1[[#This Row],[Outunit Price]]-Table1__2_1[[#This Row],[Unit Price]])*Table1__2_1[[#This Row],[Current Stock]]</f>
        <v>203200</v>
      </c>
      <c r="M17" s="12">
        <v>0.49609375</v>
      </c>
      <c r="N17" t="s">
        <v>225</v>
      </c>
    </row>
    <row r="18" spans="1:14" x14ac:dyDescent="0.3">
      <c r="A18" t="s">
        <v>24</v>
      </c>
      <c r="B18" t="s">
        <v>59</v>
      </c>
      <c r="C18" t="s">
        <v>45</v>
      </c>
      <c r="D18">
        <v>100</v>
      </c>
      <c r="E18">
        <v>500</v>
      </c>
      <c r="F18">
        <v>100</v>
      </c>
      <c r="G18">
        <v>777</v>
      </c>
      <c r="H18">
        <v>379</v>
      </c>
      <c r="I18">
        <v>37.9</v>
      </c>
      <c r="J18">
        <v>600</v>
      </c>
      <c r="K18">
        <v>227400</v>
      </c>
      <c r="L18">
        <f>(Table1__2_1[[#This Row],[Outunit Price]]-Table1__2_1[[#This Row],[Unit Price]])*Table1__2_1[[#This Row],[Current Stock]]</f>
        <v>238800</v>
      </c>
      <c r="M18" s="12">
        <v>0.51222651222651205</v>
      </c>
      <c r="N18" t="s">
        <v>225</v>
      </c>
    </row>
    <row r="19" spans="1:14" x14ac:dyDescent="0.3">
      <c r="A19" t="s">
        <v>25</v>
      </c>
      <c r="B19" t="s">
        <v>60</v>
      </c>
      <c r="C19" t="s">
        <v>42</v>
      </c>
      <c r="D19">
        <v>500</v>
      </c>
      <c r="E19">
        <v>1500</v>
      </c>
      <c r="F19">
        <v>300</v>
      </c>
      <c r="G19">
        <v>830</v>
      </c>
      <c r="H19">
        <v>249</v>
      </c>
      <c r="I19">
        <v>24.900000000000002</v>
      </c>
      <c r="J19">
        <v>2000</v>
      </c>
      <c r="K19">
        <v>498000</v>
      </c>
      <c r="L19">
        <f>(Table1__2_1[[#This Row],[Outunit Price]]-Table1__2_1[[#This Row],[Unit Price]])*Table1__2_1[[#This Row],[Current Stock]]</f>
        <v>1162000</v>
      </c>
      <c r="M19" s="12">
        <v>0.7</v>
      </c>
      <c r="N19" t="s">
        <v>224</v>
      </c>
    </row>
    <row r="20" spans="1:14" x14ac:dyDescent="0.3">
      <c r="A20" t="s">
        <v>26</v>
      </c>
      <c r="B20" t="s">
        <v>61</v>
      </c>
      <c r="C20" t="s">
        <v>45</v>
      </c>
      <c r="D20">
        <v>8000</v>
      </c>
      <c r="E20">
        <v>15000</v>
      </c>
      <c r="F20">
        <v>2000</v>
      </c>
      <c r="G20">
        <v>509</v>
      </c>
      <c r="H20">
        <v>439</v>
      </c>
      <c r="I20">
        <v>43.900000000000006</v>
      </c>
      <c r="J20">
        <v>23000</v>
      </c>
      <c r="K20">
        <v>10097000</v>
      </c>
      <c r="L20">
        <f>(Table1__2_1[[#This Row],[Outunit Price]]-Table1__2_1[[#This Row],[Unit Price]])*Table1__2_1[[#This Row],[Current Stock]]</f>
        <v>1610000</v>
      </c>
      <c r="M20" s="12">
        <v>0.13752455795677801</v>
      </c>
      <c r="N20" t="s">
        <v>224</v>
      </c>
    </row>
    <row r="21" spans="1:14" x14ac:dyDescent="0.3">
      <c r="A21" t="s">
        <v>27</v>
      </c>
      <c r="B21" t="s">
        <v>62</v>
      </c>
      <c r="C21" t="s">
        <v>38</v>
      </c>
      <c r="D21">
        <v>400</v>
      </c>
      <c r="E21">
        <v>1000</v>
      </c>
      <c r="F21">
        <v>300</v>
      </c>
      <c r="G21">
        <v>799</v>
      </c>
      <c r="H21">
        <v>390</v>
      </c>
      <c r="I21">
        <v>39</v>
      </c>
      <c r="J21">
        <v>1400</v>
      </c>
      <c r="K21">
        <v>546000</v>
      </c>
      <c r="L21">
        <f>(Table1__2_1[[#This Row],[Outunit Price]]-Table1__2_1[[#This Row],[Unit Price]])*Table1__2_1[[#This Row],[Current Stock]]</f>
        <v>572600</v>
      </c>
      <c r="M21" s="12">
        <v>0.51188986232791001</v>
      </c>
      <c r="N21" t="s">
        <v>224</v>
      </c>
    </row>
    <row r="22" spans="1:14" x14ac:dyDescent="0.3">
      <c r="A22" t="s">
        <v>28</v>
      </c>
      <c r="B22" t="s">
        <v>63</v>
      </c>
      <c r="C22" t="s">
        <v>38</v>
      </c>
      <c r="D22">
        <v>120</v>
      </c>
      <c r="E22">
        <v>350</v>
      </c>
      <c r="F22">
        <v>100</v>
      </c>
      <c r="G22">
        <v>886</v>
      </c>
      <c r="H22">
        <v>473</v>
      </c>
      <c r="I22">
        <v>47.300000000000004</v>
      </c>
      <c r="J22">
        <v>470</v>
      </c>
      <c r="K22">
        <v>222310</v>
      </c>
      <c r="L22">
        <f>(Table1__2_1[[#This Row],[Outunit Price]]-Table1__2_1[[#This Row],[Unit Price]])*Table1__2_1[[#This Row],[Current Stock]]</f>
        <v>194110</v>
      </c>
      <c r="M22" s="12">
        <v>0.46613995485327298</v>
      </c>
      <c r="N22" t="s">
        <v>225</v>
      </c>
    </row>
    <row r="23" spans="1:14" x14ac:dyDescent="0.3">
      <c r="A23" t="s">
        <v>29</v>
      </c>
      <c r="B23" t="s">
        <v>64</v>
      </c>
      <c r="C23" t="s">
        <v>40</v>
      </c>
      <c r="D23">
        <v>600</v>
      </c>
      <c r="E23">
        <v>1200</v>
      </c>
      <c r="F23">
        <v>400</v>
      </c>
      <c r="G23">
        <v>601</v>
      </c>
      <c r="H23">
        <v>216</v>
      </c>
      <c r="I23">
        <v>21.6</v>
      </c>
      <c r="J23">
        <v>1800</v>
      </c>
      <c r="K23">
        <v>388800</v>
      </c>
      <c r="L23">
        <f>(Table1__2_1[[#This Row],[Outunit Price]]-Table1__2_1[[#This Row],[Unit Price]])*Table1__2_1[[#This Row],[Current Stock]]</f>
        <v>693000</v>
      </c>
      <c r="M23" s="12">
        <v>0.64059900166389405</v>
      </c>
      <c r="N23" t="s">
        <v>224</v>
      </c>
    </row>
    <row r="24" spans="1:14" x14ac:dyDescent="0.3">
      <c r="A24" t="s">
        <v>30</v>
      </c>
      <c r="B24" t="s">
        <v>65</v>
      </c>
      <c r="C24" t="s">
        <v>45</v>
      </c>
      <c r="D24">
        <v>2000</v>
      </c>
      <c r="E24">
        <v>4000</v>
      </c>
      <c r="F24">
        <v>800</v>
      </c>
      <c r="G24">
        <v>973</v>
      </c>
      <c r="H24">
        <v>447</v>
      </c>
      <c r="I24">
        <v>44.7</v>
      </c>
      <c r="J24">
        <v>6000</v>
      </c>
      <c r="K24">
        <v>2682000</v>
      </c>
      <c r="L24">
        <f>(Table1__2_1[[#This Row],[Outunit Price]]-Table1__2_1[[#This Row],[Unit Price]])*Table1__2_1[[#This Row],[Current Stock]]</f>
        <v>3156000</v>
      </c>
      <c r="M24" s="12">
        <v>0.54059609455292901</v>
      </c>
      <c r="N24" t="s">
        <v>224</v>
      </c>
    </row>
    <row r="25" spans="1:14" x14ac:dyDescent="0.3">
      <c r="A25" t="s">
        <v>31</v>
      </c>
      <c r="B25" t="s">
        <v>66</v>
      </c>
      <c r="C25" t="s">
        <v>42</v>
      </c>
      <c r="D25">
        <v>5000</v>
      </c>
      <c r="E25">
        <v>12000</v>
      </c>
      <c r="F25">
        <v>1000</v>
      </c>
      <c r="G25">
        <v>932</v>
      </c>
      <c r="H25">
        <v>494</v>
      </c>
      <c r="I25">
        <v>49.400000000000006</v>
      </c>
      <c r="J25">
        <v>17000</v>
      </c>
      <c r="K25">
        <v>8398000</v>
      </c>
      <c r="L25">
        <f>(Table1__2_1[[#This Row],[Outunit Price]]-Table1__2_1[[#This Row],[Unit Price]])*Table1__2_1[[#This Row],[Current Stock]]</f>
        <v>7446000</v>
      </c>
      <c r="M25" s="12">
        <v>0.46995708154506399</v>
      </c>
      <c r="N25" t="s">
        <v>224</v>
      </c>
    </row>
    <row r="26" spans="1:14" x14ac:dyDescent="0.3">
      <c r="A26" t="s">
        <v>32</v>
      </c>
      <c r="B26" t="s">
        <v>67</v>
      </c>
      <c r="C26" t="s">
        <v>38</v>
      </c>
      <c r="D26">
        <v>80</v>
      </c>
      <c r="E26">
        <v>250</v>
      </c>
      <c r="F26">
        <v>50</v>
      </c>
      <c r="G26">
        <v>500</v>
      </c>
      <c r="H26">
        <v>481</v>
      </c>
      <c r="I26">
        <v>48.1</v>
      </c>
      <c r="J26">
        <v>330</v>
      </c>
      <c r="K26">
        <v>158730</v>
      </c>
      <c r="L26">
        <f>(Table1__2_1[[#This Row],[Outunit Price]]-Table1__2_1[[#This Row],[Unit Price]])*Table1__2_1[[#This Row],[Current Stock]]</f>
        <v>6270</v>
      </c>
      <c r="M26" s="12">
        <v>3.7999999999999999E-2</v>
      </c>
      <c r="N26" t="s">
        <v>226</v>
      </c>
    </row>
    <row r="27" spans="1:14" x14ac:dyDescent="0.3">
      <c r="A27" t="s">
        <v>33</v>
      </c>
      <c r="B27" t="s">
        <v>68</v>
      </c>
      <c r="C27" t="s">
        <v>45</v>
      </c>
      <c r="D27">
        <v>5000</v>
      </c>
      <c r="E27">
        <v>10000</v>
      </c>
      <c r="F27">
        <v>1500</v>
      </c>
      <c r="G27">
        <v>840</v>
      </c>
      <c r="H27">
        <v>408</v>
      </c>
      <c r="I27">
        <v>40.800000000000004</v>
      </c>
      <c r="J27">
        <v>15000</v>
      </c>
      <c r="K27">
        <v>6120000</v>
      </c>
      <c r="L27">
        <f>(Table1__2_1[[#This Row],[Outunit Price]]-Table1__2_1[[#This Row],[Unit Price]])*Table1__2_1[[#This Row],[Current Stock]]</f>
        <v>6480000</v>
      </c>
      <c r="M27" s="12">
        <v>0.51428571428571401</v>
      </c>
      <c r="N27" t="s">
        <v>224</v>
      </c>
    </row>
    <row r="28" spans="1:14" x14ac:dyDescent="0.3">
      <c r="A28" t="s">
        <v>34</v>
      </c>
      <c r="B28" t="s">
        <v>69</v>
      </c>
      <c r="C28" t="s">
        <v>40</v>
      </c>
      <c r="D28">
        <v>300</v>
      </c>
      <c r="E28">
        <v>800</v>
      </c>
      <c r="F28">
        <v>200</v>
      </c>
      <c r="G28">
        <v>555</v>
      </c>
      <c r="H28">
        <v>341</v>
      </c>
      <c r="I28">
        <v>34.1</v>
      </c>
      <c r="J28">
        <v>1100</v>
      </c>
      <c r="K28">
        <v>375100</v>
      </c>
      <c r="L28">
        <f>(Table1__2_1[[#This Row],[Outunit Price]]-Table1__2_1[[#This Row],[Unit Price]])*Table1__2_1[[#This Row],[Current Stock]]</f>
        <v>235400</v>
      </c>
      <c r="M28" s="12">
        <v>0.38558558558558598</v>
      </c>
      <c r="N28" t="s">
        <v>225</v>
      </c>
    </row>
    <row r="29" spans="1:14" x14ac:dyDescent="0.3">
      <c r="A29" t="s">
        <v>35</v>
      </c>
      <c r="B29" t="s">
        <v>70</v>
      </c>
      <c r="C29" t="s">
        <v>42</v>
      </c>
      <c r="D29">
        <v>1000</v>
      </c>
      <c r="E29">
        <v>2500</v>
      </c>
      <c r="F29">
        <v>500</v>
      </c>
      <c r="G29">
        <v>632</v>
      </c>
      <c r="H29">
        <v>350</v>
      </c>
      <c r="I29">
        <v>35</v>
      </c>
      <c r="J29">
        <v>3500</v>
      </c>
      <c r="K29">
        <v>1225000</v>
      </c>
      <c r="L29">
        <f>(Table1__2_1[[#This Row],[Outunit Price]]-Table1__2_1[[#This Row],[Unit Price]])*Table1__2_1[[#This Row],[Current Stock]]</f>
        <v>987000</v>
      </c>
      <c r="M29" s="12">
        <v>0.44620253164557</v>
      </c>
      <c r="N29" t="s">
        <v>224</v>
      </c>
    </row>
    <row r="30" spans="1:14" x14ac:dyDescent="0.3">
      <c r="A30" t="s">
        <v>36</v>
      </c>
      <c r="B30" t="s">
        <v>71</v>
      </c>
      <c r="C30" t="s">
        <v>45</v>
      </c>
      <c r="D30">
        <v>10000</v>
      </c>
      <c r="E30">
        <v>30000</v>
      </c>
      <c r="F30">
        <v>5000</v>
      </c>
      <c r="G30">
        <v>866</v>
      </c>
      <c r="H30">
        <v>491</v>
      </c>
      <c r="I30">
        <v>49.1</v>
      </c>
      <c r="J30">
        <v>40000</v>
      </c>
      <c r="K30">
        <v>19640000</v>
      </c>
      <c r="L30">
        <f>(Table1__2_1[[#This Row],[Outunit Price]]-Table1__2_1[[#This Row],[Unit Price]])*Table1__2_1[[#This Row],[Current Stock]]</f>
        <v>15000000</v>
      </c>
      <c r="M30" s="12">
        <v>0.43302540415704399</v>
      </c>
      <c r="N30" t="s">
        <v>224</v>
      </c>
    </row>
    <row r="31" spans="1:14" x14ac:dyDescent="0.3">
      <c r="A31" t="s">
        <v>37</v>
      </c>
      <c r="B31" t="s">
        <v>72</v>
      </c>
      <c r="C31" t="s">
        <v>38</v>
      </c>
      <c r="D31">
        <v>200</v>
      </c>
      <c r="E31">
        <v>500</v>
      </c>
      <c r="F31">
        <v>100</v>
      </c>
      <c r="G31">
        <v>710</v>
      </c>
      <c r="H31">
        <v>413</v>
      </c>
      <c r="I31">
        <v>41.300000000000004</v>
      </c>
      <c r="J31">
        <v>700</v>
      </c>
      <c r="K31">
        <v>289100</v>
      </c>
      <c r="L31">
        <f>(Table1__2_1[[#This Row],[Outunit Price]]-Table1__2_1[[#This Row],[Unit Price]])*Table1__2_1[[#This Row],[Current Stock]]</f>
        <v>207900</v>
      </c>
      <c r="M31" s="12">
        <v>0.41830985915493002</v>
      </c>
      <c r="N31" t="s">
        <v>225</v>
      </c>
    </row>
    <row r="32" spans="1:14" x14ac:dyDescent="0.3">
      <c r="A32" t="s">
        <v>73</v>
      </c>
      <c r="B32" t="s">
        <v>74</v>
      </c>
      <c r="C32" t="s">
        <v>40</v>
      </c>
      <c r="D32">
        <v>400</v>
      </c>
      <c r="E32">
        <v>1200</v>
      </c>
      <c r="F32">
        <v>300</v>
      </c>
      <c r="G32">
        <v>655</v>
      </c>
      <c r="H32">
        <v>457</v>
      </c>
      <c r="I32">
        <v>45.7</v>
      </c>
      <c r="J32">
        <v>1600</v>
      </c>
      <c r="K32">
        <v>731200</v>
      </c>
      <c r="L32">
        <f>(Table1__2_1[[#This Row],[Outunit Price]]-Table1__2_1[[#This Row],[Unit Price]])*Table1__2_1[[#This Row],[Current Stock]]</f>
        <v>316800</v>
      </c>
      <c r="M32" s="12">
        <v>0.30229007633587801</v>
      </c>
      <c r="N32" t="s">
        <v>224</v>
      </c>
    </row>
    <row r="33" spans="1:14" x14ac:dyDescent="0.3">
      <c r="A33" t="s">
        <v>75</v>
      </c>
      <c r="B33" t="s">
        <v>76</v>
      </c>
      <c r="C33" t="s">
        <v>45</v>
      </c>
      <c r="D33">
        <v>500</v>
      </c>
      <c r="E33">
        <v>1500</v>
      </c>
      <c r="F33">
        <v>300</v>
      </c>
      <c r="G33">
        <v>920</v>
      </c>
      <c r="H33">
        <v>324</v>
      </c>
      <c r="I33">
        <v>32.4</v>
      </c>
      <c r="J33">
        <v>2000</v>
      </c>
      <c r="K33">
        <v>648000</v>
      </c>
      <c r="L33">
        <f>(Table1__2_1[[#This Row],[Outunit Price]]-Table1__2_1[[#This Row],[Unit Price]])*Table1__2_1[[#This Row],[Current Stock]]</f>
        <v>1192000</v>
      </c>
      <c r="M33" s="12">
        <v>0.647826086956522</v>
      </c>
      <c r="N33" t="s">
        <v>224</v>
      </c>
    </row>
    <row r="34" spans="1:14" x14ac:dyDescent="0.3">
      <c r="A34" t="s">
        <v>77</v>
      </c>
      <c r="B34" t="s">
        <v>78</v>
      </c>
      <c r="C34" t="s">
        <v>41</v>
      </c>
      <c r="D34">
        <v>20</v>
      </c>
      <c r="E34">
        <v>100</v>
      </c>
      <c r="F34">
        <v>20</v>
      </c>
      <c r="G34">
        <v>963</v>
      </c>
      <c r="H34">
        <v>390</v>
      </c>
      <c r="I34">
        <v>39</v>
      </c>
      <c r="J34">
        <v>120</v>
      </c>
      <c r="K34">
        <v>46800</v>
      </c>
      <c r="L34">
        <f>(Table1__2_1[[#This Row],[Outunit Price]]-Table1__2_1[[#This Row],[Unit Price]])*Table1__2_1[[#This Row],[Current Stock]]</f>
        <v>68760</v>
      </c>
      <c r="M34" s="12">
        <v>0.59501557632398805</v>
      </c>
      <c r="N34" t="s">
        <v>226</v>
      </c>
    </row>
    <row r="35" spans="1:14" x14ac:dyDescent="0.3">
      <c r="A35" t="s">
        <v>79</v>
      </c>
      <c r="B35" t="s">
        <v>80</v>
      </c>
      <c r="C35" t="s">
        <v>41</v>
      </c>
      <c r="D35">
        <v>10</v>
      </c>
      <c r="E35">
        <v>50</v>
      </c>
      <c r="F35">
        <v>10</v>
      </c>
      <c r="G35">
        <v>801</v>
      </c>
      <c r="H35">
        <v>243</v>
      </c>
      <c r="I35">
        <v>24.3</v>
      </c>
      <c r="J35">
        <v>60</v>
      </c>
      <c r="K35">
        <v>14580</v>
      </c>
      <c r="L35">
        <f>(Table1__2_1[[#This Row],[Outunit Price]]-Table1__2_1[[#This Row],[Unit Price]])*Table1__2_1[[#This Row],[Current Stock]]</f>
        <v>33480</v>
      </c>
      <c r="M35" s="12">
        <v>0.69662921348314599</v>
      </c>
      <c r="N35" t="s">
        <v>226</v>
      </c>
    </row>
    <row r="36" spans="1:14" x14ac:dyDescent="0.3">
      <c r="A36" t="s">
        <v>81</v>
      </c>
      <c r="B36" t="s">
        <v>82</v>
      </c>
      <c r="C36" t="s">
        <v>41</v>
      </c>
      <c r="D36">
        <v>50</v>
      </c>
      <c r="E36">
        <v>200</v>
      </c>
      <c r="F36">
        <v>40</v>
      </c>
      <c r="G36">
        <v>855</v>
      </c>
      <c r="H36">
        <v>484</v>
      </c>
      <c r="I36">
        <v>48.400000000000006</v>
      </c>
      <c r="J36">
        <v>250</v>
      </c>
      <c r="K36">
        <v>121000</v>
      </c>
      <c r="L36">
        <f>(Table1__2_1[[#This Row],[Outunit Price]]-Table1__2_1[[#This Row],[Unit Price]])*Table1__2_1[[#This Row],[Current Stock]]</f>
        <v>92750</v>
      </c>
      <c r="M36" s="12">
        <v>0.43391812865497098</v>
      </c>
      <c r="N36" t="s">
        <v>226</v>
      </c>
    </row>
    <row r="37" spans="1:14" x14ac:dyDescent="0.3">
      <c r="A37" t="s">
        <v>83</v>
      </c>
      <c r="B37" t="s">
        <v>84</v>
      </c>
      <c r="C37" t="s">
        <v>45</v>
      </c>
      <c r="D37">
        <v>150</v>
      </c>
      <c r="E37">
        <v>500</v>
      </c>
      <c r="F37">
        <v>100</v>
      </c>
      <c r="G37">
        <v>653</v>
      </c>
      <c r="H37">
        <v>287</v>
      </c>
      <c r="I37">
        <v>28.700000000000003</v>
      </c>
      <c r="J37">
        <v>650</v>
      </c>
      <c r="K37">
        <v>186550</v>
      </c>
      <c r="L37">
        <f>(Table1__2_1[[#This Row],[Outunit Price]]-Table1__2_1[[#This Row],[Unit Price]])*Table1__2_1[[#This Row],[Current Stock]]</f>
        <v>237900</v>
      </c>
      <c r="M37" s="12">
        <v>0.56049004594180696</v>
      </c>
      <c r="N37" t="s">
        <v>225</v>
      </c>
    </row>
    <row r="38" spans="1:14" x14ac:dyDescent="0.3">
      <c r="A38" t="s">
        <v>85</v>
      </c>
      <c r="B38" t="s">
        <v>86</v>
      </c>
      <c r="C38" t="s">
        <v>41</v>
      </c>
      <c r="D38">
        <v>1000</v>
      </c>
      <c r="E38">
        <v>5000</v>
      </c>
      <c r="F38">
        <v>1000</v>
      </c>
      <c r="G38">
        <v>808</v>
      </c>
      <c r="H38">
        <v>231</v>
      </c>
      <c r="I38">
        <v>23.1</v>
      </c>
      <c r="J38">
        <v>6000</v>
      </c>
      <c r="K38">
        <v>1386000</v>
      </c>
      <c r="L38">
        <f>(Table1__2_1[[#This Row],[Outunit Price]]-Table1__2_1[[#This Row],[Unit Price]])*Table1__2_1[[#This Row],[Current Stock]]</f>
        <v>3462000</v>
      </c>
      <c r="M38" s="12">
        <v>0.71410891089108897</v>
      </c>
      <c r="N38" t="s">
        <v>224</v>
      </c>
    </row>
    <row r="39" spans="1:14" x14ac:dyDescent="0.3">
      <c r="A39" t="s">
        <v>87</v>
      </c>
      <c r="B39" t="s">
        <v>88</v>
      </c>
      <c r="C39" t="s">
        <v>42</v>
      </c>
      <c r="D39">
        <v>5000</v>
      </c>
      <c r="E39">
        <v>15000</v>
      </c>
      <c r="F39">
        <v>2000</v>
      </c>
      <c r="G39">
        <v>706</v>
      </c>
      <c r="H39">
        <v>329</v>
      </c>
      <c r="I39">
        <v>32.9</v>
      </c>
      <c r="J39">
        <v>20000</v>
      </c>
      <c r="K39">
        <v>6580000</v>
      </c>
      <c r="L39">
        <f>(Table1__2_1[[#This Row],[Outunit Price]]-Table1__2_1[[#This Row],[Unit Price]])*Table1__2_1[[#This Row],[Current Stock]]</f>
        <v>7540000</v>
      </c>
      <c r="M39" s="12">
        <v>0.53399433427762</v>
      </c>
      <c r="N39" t="s">
        <v>224</v>
      </c>
    </row>
    <row r="40" spans="1:14" x14ac:dyDescent="0.3">
      <c r="A40" t="s">
        <v>89</v>
      </c>
      <c r="B40" t="s">
        <v>90</v>
      </c>
      <c r="C40" t="s">
        <v>40</v>
      </c>
      <c r="D40">
        <v>400</v>
      </c>
      <c r="E40">
        <v>1000</v>
      </c>
      <c r="F40">
        <v>300</v>
      </c>
      <c r="G40">
        <v>923</v>
      </c>
      <c r="H40">
        <v>303</v>
      </c>
      <c r="I40">
        <v>30.3</v>
      </c>
      <c r="J40">
        <v>1400</v>
      </c>
      <c r="K40">
        <v>424200</v>
      </c>
      <c r="L40">
        <f>(Table1__2_1[[#This Row],[Outunit Price]]-Table1__2_1[[#This Row],[Unit Price]])*Table1__2_1[[#This Row],[Current Stock]]</f>
        <v>868000</v>
      </c>
      <c r="M40" s="12">
        <v>0.67172264355362998</v>
      </c>
      <c r="N40" t="s">
        <v>224</v>
      </c>
    </row>
    <row r="41" spans="1:14" x14ac:dyDescent="0.3">
      <c r="A41" t="s">
        <v>91</v>
      </c>
      <c r="B41" t="s">
        <v>92</v>
      </c>
      <c r="C41" t="s">
        <v>45</v>
      </c>
      <c r="D41">
        <v>800</v>
      </c>
      <c r="E41">
        <v>2000</v>
      </c>
      <c r="F41">
        <v>500</v>
      </c>
      <c r="G41">
        <v>979</v>
      </c>
      <c r="H41">
        <v>477</v>
      </c>
      <c r="I41">
        <v>47.7</v>
      </c>
      <c r="J41">
        <v>2800</v>
      </c>
      <c r="K41">
        <v>1335600</v>
      </c>
      <c r="L41">
        <f>(Table1__2_1[[#This Row],[Outunit Price]]-Table1__2_1[[#This Row],[Unit Price]])*Table1__2_1[[#This Row],[Current Stock]]</f>
        <v>1405600</v>
      </c>
      <c r="M41" s="12">
        <v>0.51276813074565897</v>
      </c>
      <c r="N41" t="s">
        <v>224</v>
      </c>
    </row>
    <row r="42" spans="1:14" x14ac:dyDescent="0.3">
      <c r="A42" t="s">
        <v>93</v>
      </c>
      <c r="B42" t="s">
        <v>94</v>
      </c>
      <c r="C42" t="s">
        <v>41</v>
      </c>
      <c r="D42">
        <v>5</v>
      </c>
      <c r="E42">
        <v>20</v>
      </c>
      <c r="F42">
        <v>5</v>
      </c>
      <c r="G42">
        <v>972</v>
      </c>
      <c r="H42">
        <v>428</v>
      </c>
      <c r="I42">
        <v>42.800000000000004</v>
      </c>
      <c r="J42">
        <v>25</v>
      </c>
      <c r="K42">
        <v>10700</v>
      </c>
      <c r="L42">
        <f>(Table1__2_1[[#This Row],[Outunit Price]]-Table1__2_1[[#This Row],[Unit Price]])*Table1__2_1[[#This Row],[Current Stock]]</f>
        <v>13600</v>
      </c>
      <c r="M42" s="12">
        <v>0.55967078189300401</v>
      </c>
      <c r="N42" t="s">
        <v>226</v>
      </c>
    </row>
    <row r="43" spans="1:14" x14ac:dyDescent="0.3">
      <c r="A43" t="s">
        <v>95</v>
      </c>
      <c r="B43" t="s">
        <v>96</v>
      </c>
      <c r="C43" t="s">
        <v>41</v>
      </c>
      <c r="D43">
        <v>200</v>
      </c>
      <c r="E43">
        <v>600</v>
      </c>
      <c r="F43">
        <v>100</v>
      </c>
      <c r="G43">
        <v>736</v>
      </c>
      <c r="H43">
        <v>463</v>
      </c>
      <c r="I43">
        <v>46.300000000000004</v>
      </c>
      <c r="J43">
        <v>800</v>
      </c>
      <c r="K43">
        <v>370400</v>
      </c>
      <c r="L43">
        <f>(Table1__2_1[[#This Row],[Outunit Price]]-Table1__2_1[[#This Row],[Unit Price]])*Table1__2_1[[#This Row],[Current Stock]]</f>
        <v>218400</v>
      </c>
      <c r="M43" s="12">
        <v>0.37092391304347799</v>
      </c>
      <c r="N43" t="s">
        <v>225</v>
      </c>
    </row>
    <row r="44" spans="1:14" x14ac:dyDescent="0.3">
      <c r="A44" t="s">
        <v>97</v>
      </c>
      <c r="B44" t="s">
        <v>98</v>
      </c>
      <c r="C44" t="s">
        <v>41</v>
      </c>
      <c r="D44">
        <v>8</v>
      </c>
      <c r="E44">
        <v>30</v>
      </c>
      <c r="F44">
        <v>10</v>
      </c>
      <c r="G44">
        <v>835</v>
      </c>
      <c r="H44">
        <v>406</v>
      </c>
      <c r="I44">
        <v>40.6</v>
      </c>
      <c r="J44">
        <v>38</v>
      </c>
      <c r="K44">
        <v>15428</v>
      </c>
      <c r="L44">
        <f>(Table1__2_1[[#This Row],[Outunit Price]]-Table1__2_1[[#This Row],[Unit Price]])*Table1__2_1[[#This Row],[Current Stock]]</f>
        <v>16302</v>
      </c>
      <c r="M44" s="12">
        <v>0.51377245508981995</v>
      </c>
      <c r="N44" t="s">
        <v>226</v>
      </c>
    </row>
    <row r="45" spans="1:14" x14ac:dyDescent="0.3">
      <c r="A45" t="s">
        <v>99</v>
      </c>
      <c r="B45" t="s">
        <v>100</v>
      </c>
      <c r="C45" t="s">
        <v>41</v>
      </c>
      <c r="D45">
        <v>15</v>
      </c>
      <c r="E45">
        <v>60</v>
      </c>
      <c r="F45">
        <v>15</v>
      </c>
      <c r="G45">
        <v>857</v>
      </c>
      <c r="H45">
        <v>441</v>
      </c>
      <c r="I45">
        <v>44.1</v>
      </c>
      <c r="J45">
        <v>75</v>
      </c>
      <c r="K45">
        <v>33075</v>
      </c>
      <c r="L45">
        <f>(Table1__2_1[[#This Row],[Outunit Price]]-Table1__2_1[[#This Row],[Unit Price]])*Table1__2_1[[#This Row],[Current Stock]]</f>
        <v>31200</v>
      </c>
      <c r="M45" s="12">
        <v>0.48541423570595099</v>
      </c>
      <c r="N45" t="s">
        <v>226</v>
      </c>
    </row>
    <row r="46" spans="1:14" x14ac:dyDescent="0.3">
      <c r="A46" t="s">
        <v>101</v>
      </c>
      <c r="B46" t="s">
        <v>102</v>
      </c>
      <c r="C46" t="s">
        <v>38</v>
      </c>
      <c r="D46">
        <v>100</v>
      </c>
      <c r="E46">
        <v>300</v>
      </c>
      <c r="F46">
        <v>80</v>
      </c>
      <c r="G46">
        <v>980</v>
      </c>
      <c r="H46">
        <v>465</v>
      </c>
      <c r="I46">
        <v>46.5</v>
      </c>
      <c r="J46">
        <v>400</v>
      </c>
      <c r="K46">
        <v>186000</v>
      </c>
      <c r="L46">
        <f>(Table1__2_1[[#This Row],[Outunit Price]]-Table1__2_1[[#This Row],[Unit Price]])*Table1__2_1[[#This Row],[Current Stock]]</f>
        <v>206000</v>
      </c>
      <c r="M46" s="12">
        <v>0.52551020408163296</v>
      </c>
      <c r="N46" t="s">
        <v>225</v>
      </c>
    </row>
    <row r="47" spans="1:14" x14ac:dyDescent="0.3">
      <c r="A47" t="s">
        <v>103</v>
      </c>
      <c r="B47" t="s">
        <v>104</v>
      </c>
      <c r="C47" t="s">
        <v>45</v>
      </c>
      <c r="D47">
        <v>300</v>
      </c>
      <c r="E47">
        <v>800</v>
      </c>
      <c r="F47">
        <v>200</v>
      </c>
      <c r="G47">
        <v>589</v>
      </c>
      <c r="H47">
        <v>414</v>
      </c>
      <c r="I47">
        <v>41.400000000000006</v>
      </c>
      <c r="J47">
        <v>1100</v>
      </c>
      <c r="K47">
        <v>455400</v>
      </c>
      <c r="L47">
        <f>(Table1__2_1[[#This Row],[Outunit Price]]-Table1__2_1[[#This Row],[Unit Price]])*Table1__2_1[[#This Row],[Current Stock]]</f>
        <v>192500</v>
      </c>
      <c r="M47" s="12">
        <v>0.297113752122241</v>
      </c>
      <c r="N47" t="s">
        <v>225</v>
      </c>
    </row>
    <row r="48" spans="1:14" x14ac:dyDescent="0.3">
      <c r="A48" t="s">
        <v>105</v>
      </c>
      <c r="B48" t="s">
        <v>106</v>
      </c>
      <c r="C48" t="s">
        <v>41</v>
      </c>
      <c r="D48">
        <v>50</v>
      </c>
      <c r="E48">
        <v>150</v>
      </c>
      <c r="F48">
        <v>30</v>
      </c>
      <c r="G48">
        <v>946</v>
      </c>
      <c r="H48">
        <v>350</v>
      </c>
      <c r="I48">
        <v>35</v>
      </c>
      <c r="J48">
        <v>200</v>
      </c>
      <c r="K48">
        <v>70000</v>
      </c>
      <c r="L48">
        <f>(Table1__2_1[[#This Row],[Outunit Price]]-Table1__2_1[[#This Row],[Unit Price]])*Table1__2_1[[#This Row],[Current Stock]]</f>
        <v>119200</v>
      </c>
      <c r="M48" s="12">
        <v>0.63002114164904899</v>
      </c>
      <c r="N48" t="s">
        <v>226</v>
      </c>
    </row>
    <row r="49" spans="1:14" x14ac:dyDescent="0.3">
      <c r="A49" t="s">
        <v>107</v>
      </c>
      <c r="B49" t="s">
        <v>108</v>
      </c>
      <c r="C49" t="s">
        <v>41</v>
      </c>
      <c r="D49">
        <v>40</v>
      </c>
      <c r="E49">
        <v>120</v>
      </c>
      <c r="F49">
        <v>30</v>
      </c>
      <c r="G49">
        <v>949</v>
      </c>
      <c r="H49">
        <v>362</v>
      </c>
      <c r="I49">
        <v>36.200000000000003</v>
      </c>
      <c r="J49">
        <v>160</v>
      </c>
      <c r="K49">
        <v>57920</v>
      </c>
      <c r="L49">
        <f>(Table1__2_1[[#This Row],[Outunit Price]]-Table1__2_1[[#This Row],[Unit Price]])*Table1__2_1[[#This Row],[Current Stock]]</f>
        <v>93920</v>
      </c>
      <c r="M49" s="12">
        <v>0.61854583772392002</v>
      </c>
      <c r="N49" t="s">
        <v>226</v>
      </c>
    </row>
    <row r="50" spans="1:14" x14ac:dyDescent="0.3">
      <c r="A50" t="s">
        <v>109</v>
      </c>
      <c r="B50" t="s">
        <v>110</v>
      </c>
      <c r="C50" t="s">
        <v>41</v>
      </c>
      <c r="D50">
        <v>10</v>
      </c>
      <c r="E50">
        <v>40</v>
      </c>
      <c r="F50">
        <v>10</v>
      </c>
      <c r="G50">
        <v>839</v>
      </c>
      <c r="H50">
        <v>308</v>
      </c>
      <c r="I50">
        <v>30.8</v>
      </c>
      <c r="J50">
        <v>50</v>
      </c>
      <c r="K50">
        <v>15400</v>
      </c>
      <c r="L50">
        <f>(Table1__2_1[[#This Row],[Outunit Price]]-Table1__2_1[[#This Row],[Unit Price]])*Table1__2_1[[#This Row],[Current Stock]]</f>
        <v>26550</v>
      </c>
      <c r="M50" s="12">
        <v>0.63289630512514905</v>
      </c>
      <c r="N50" t="s">
        <v>226</v>
      </c>
    </row>
    <row r="51" spans="1:14" x14ac:dyDescent="0.3">
      <c r="A51" t="s">
        <v>111</v>
      </c>
      <c r="B51" t="s">
        <v>214</v>
      </c>
      <c r="C51" t="s">
        <v>41</v>
      </c>
      <c r="D51">
        <v>5</v>
      </c>
      <c r="E51">
        <v>25</v>
      </c>
      <c r="F51">
        <v>5</v>
      </c>
      <c r="G51">
        <v>909</v>
      </c>
      <c r="H51">
        <v>333</v>
      </c>
      <c r="I51">
        <v>33.300000000000004</v>
      </c>
      <c r="J51">
        <v>30</v>
      </c>
      <c r="K51">
        <v>9990</v>
      </c>
      <c r="L51">
        <f>(Table1__2_1[[#This Row],[Outunit Price]]-Table1__2_1[[#This Row],[Unit Price]])*Table1__2_1[[#This Row],[Current Stock]]</f>
        <v>17280</v>
      </c>
      <c r="M51" s="12">
        <v>0.633663366336634</v>
      </c>
      <c r="N51" t="s">
        <v>226</v>
      </c>
    </row>
    <row r="52" spans="1:14" x14ac:dyDescent="0.3">
      <c r="A52" t="s">
        <v>113</v>
      </c>
      <c r="B52" t="s">
        <v>114</v>
      </c>
      <c r="C52" t="s">
        <v>38</v>
      </c>
      <c r="D52">
        <v>120</v>
      </c>
      <c r="E52">
        <v>450</v>
      </c>
      <c r="F52">
        <v>100</v>
      </c>
      <c r="G52">
        <v>680</v>
      </c>
      <c r="H52">
        <v>470</v>
      </c>
      <c r="I52">
        <v>47</v>
      </c>
      <c r="J52">
        <v>570</v>
      </c>
      <c r="K52">
        <v>267900</v>
      </c>
      <c r="L52">
        <f>(Table1__2_1[[#This Row],[Outunit Price]]-Table1__2_1[[#This Row],[Unit Price]])*Table1__2_1[[#This Row],[Current Stock]]</f>
        <v>119700</v>
      </c>
      <c r="M52" s="12">
        <v>0.308823529411765</v>
      </c>
      <c r="N52" t="s">
        <v>225</v>
      </c>
    </row>
    <row r="53" spans="1:14" x14ac:dyDescent="0.3">
      <c r="A53" t="s">
        <v>115</v>
      </c>
      <c r="B53" t="s">
        <v>116</v>
      </c>
      <c r="C53" t="s">
        <v>38</v>
      </c>
      <c r="D53">
        <v>200</v>
      </c>
      <c r="E53">
        <v>600</v>
      </c>
      <c r="F53">
        <v>150</v>
      </c>
      <c r="G53">
        <v>508</v>
      </c>
      <c r="H53">
        <v>333</v>
      </c>
      <c r="I53">
        <v>33.300000000000004</v>
      </c>
      <c r="J53">
        <v>800</v>
      </c>
      <c r="K53">
        <v>266400</v>
      </c>
      <c r="L53">
        <f>(Table1__2_1[[#This Row],[Outunit Price]]-Table1__2_1[[#This Row],[Unit Price]])*Table1__2_1[[#This Row],[Current Stock]]</f>
        <v>140000</v>
      </c>
      <c r="M53" s="12">
        <v>0.34448818897637801</v>
      </c>
      <c r="N53" t="s">
        <v>225</v>
      </c>
    </row>
    <row r="54" spans="1:14" x14ac:dyDescent="0.3">
      <c r="A54" t="s">
        <v>117</v>
      </c>
      <c r="B54" t="s">
        <v>118</v>
      </c>
      <c r="C54" t="s">
        <v>40</v>
      </c>
      <c r="D54">
        <v>500</v>
      </c>
      <c r="E54">
        <v>1500</v>
      </c>
      <c r="F54">
        <v>400</v>
      </c>
      <c r="G54">
        <v>554</v>
      </c>
      <c r="H54">
        <v>478</v>
      </c>
      <c r="I54">
        <v>47.800000000000004</v>
      </c>
      <c r="J54">
        <v>2000</v>
      </c>
      <c r="K54">
        <v>956000</v>
      </c>
      <c r="L54">
        <f>(Table1__2_1[[#This Row],[Outunit Price]]-Table1__2_1[[#This Row],[Unit Price]])*Table1__2_1[[#This Row],[Current Stock]]</f>
        <v>152000</v>
      </c>
      <c r="M54" s="12">
        <v>0.13718411552346599</v>
      </c>
      <c r="N54" t="s">
        <v>224</v>
      </c>
    </row>
    <row r="55" spans="1:14" x14ac:dyDescent="0.3">
      <c r="A55" t="s">
        <v>119</v>
      </c>
      <c r="B55" t="s">
        <v>120</v>
      </c>
      <c r="C55" t="s">
        <v>45</v>
      </c>
      <c r="D55">
        <v>1000</v>
      </c>
      <c r="E55">
        <v>2500</v>
      </c>
      <c r="F55">
        <v>800</v>
      </c>
      <c r="G55">
        <v>574</v>
      </c>
      <c r="H55">
        <v>479</v>
      </c>
      <c r="I55">
        <v>47.900000000000006</v>
      </c>
      <c r="J55">
        <v>3500</v>
      </c>
      <c r="K55">
        <v>1676500</v>
      </c>
      <c r="L55">
        <f>(Table1__2_1[[#This Row],[Outunit Price]]-Table1__2_1[[#This Row],[Unit Price]])*Table1__2_1[[#This Row],[Current Stock]]</f>
        <v>332500</v>
      </c>
      <c r="M55" s="12">
        <v>0.16550522648083599</v>
      </c>
      <c r="N55" t="s">
        <v>224</v>
      </c>
    </row>
    <row r="56" spans="1:14" x14ac:dyDescent="0.3">
      <c r="A56" t="s">
        <v>121</v>
      </c>
      <c r="B56" t="s">
        <v>122</v>
      </c>
      <c r="C56" t="s">
        <v>45</v>
      </c>
      <c r="D56">
        <v>400</v>
      </c>
      <c r="E56">
        <v>1000</v>
      </c>
      <c r="F56">
        <v>200</v>
      </c>
      <c r="G56">
        <v>892</v>
      </c>
      <c r="H56">
        <v>362</v>
      </c>
      <c r="I56">
        <v>36.200000000000003</v>
      </c>
      <c r="J56">
        <v>1400</v>
      </c>
      <c r="K56">
        <v>506800</v>
      </c>
      <c r="L56">
        <f>(Table1__2_1[[#This Row],[Outunit Price]]-Table1__2_1[[#This Row],[Unit Price]])*Table1__2_1[[#This Row],[Current Stock]]</f>
        <v>742000</v>
      </c>
      <c r="M56" s="12">
        <v>0.594170403587444</v>
      </c>
      <c r="N56" t="s">
        <v>224</v>
      </c>
    </row>
    <row r="57" spans="1:14" x14ac:dyDescent="0.3">
      <c r="A57" t="s">
        <v>123</v>
      </c>
      <c r="B57" t="s">
        <v>124</v>
      </c>
      <c r="C57" t="s">
        <v>41</v>
      </c>
      <c r="D57">
        <v>2</v>
      </c>
      <c r="E57">
        <v>10</v>
      </c>
      <c r="F57">
        <v>3</v>
      </c>
      <c r="G57">
        <v>778</v>
      </c>
      <c r="H57">
        <v>221</v>
      </c>
      <c r="I57">
        <v>22.1</v>
      </c>
      <c r="J57">
        <v>12</v>
      </c>
      <c r="K57">
        <v>2652</v>
      </c>
      <c r="L57">
        <f>(Table1__2_1[[#This Row],[Outunit Price]]-Table1__2_1[[#This Row],[Unit Price]])*Table1__2_1[[#This Row],[Current Stock]]</f>
        <v>6684</v>
      </c>
      <c r="M57" s="12">
        <v>0.715938303341902</v>
      </c>
      <c r="N57" t="s">
        <v>226</v>
      </c>
    </row>
    <row r="58" spans="1:14" x14ac:dyDescent="0.3">
      <c r="A58" t="s">
        <v>125</v>
      </c>
      <c r="B58" t="s">
        <v>126</v>
      </c>
      <c r="C58" t="s">
        <v>41</v>
      </c>
      <c r="D58">
        <v>20</v>
      </c>
      <c r="E58">
        <v>80</v>
      </c>
      <c r="F58">
        <v>20</v>
      </c>
      <c r="G58">
        <v>953</v>
      </c>
      <c r="H58">
        <v>217</v>
      </c>
      <c r="I58">
        <v>21.700000000000003</v>
      </c>
      <c r="J58">
        <v>100</v>
      </c>
      <c r="K58">
        <v>21700</v>
      </c>
      <c r="L58">
        <f>(Table1__2_1[[#This Row],[Outunit Price]]-Table1__2_1[[#This Row],[Unit Price]])*Table1__2_1[[#This Row],[Current Stock]]</f>
        <v>73600</v>
      </c>
      <c r="M58" s="12">
        <v>0.77229800629590795</v>
      </c>
      <c r="N58" t="s">
        <v>226</v>
      </c>
    </row>
    <row r="59" spans="1:14" x14ac:dyDescent="0.3">
      <c r="A59" t="s">
        <v>127</v>
      </c>
      <c r="B59" t="s">
        <v>128</v>
      </c>
      <c r="C59" t="s">
        <v>40</v>
      </c>
      <c r="D59">
        <v>2000</v>
      </c>
      <c r="E59">
        <v>5000</v>
      </c>
      <c r="F59">
        <v>1000</v>
      </c>
      <c r="G59">
        <v>680</v>
      </c>
      <c r="H59">
        <v>379</v>
      </c>
      <c r="I59">
        <v>37.9</v>
      </c>
      <c r="J59">
        <v>7000</v>
      </c>
      <c r="K59">
        <v>2653000</v>
      </c>
      <c r="L59">
        <f>(Table1__2_1[[#This Row],[Outunit Price]]-Table1__2_1[[#This Row],[Unit Price]])*Table1__2_1[[#This Row],[Current Stock]]</f>
        <v>2107000</v>
      </c>
      <c r="M59" s="12">
        <v>0.442647058823529</v>
      </c>
      <c r="N59" t="s">
        <v>224</v>
      </c>
    </row>
    <row r="60" spans="1:14" x14ac:dyDescent="0.3">
      <c r="A60" t="s">
        <v>129</v>
      </c>
      <c r="B60" t="s">
        <v>130</v>
      </c>
      <c r="C60" t="s">
        <v>41</v>
      </c>
      <c r="D60">
        <v>5000</v>
      </c>
      <c r="E60">
        <v>15000</v>
      </c>
      <c r="F60">
        <v>3000</v>
      </c>
      <c r="G60">
        <v>737</v>
      </c>
      <c r="H60">
        <v>445</v>
      </c>
      <c r="I60">
        <v>44.5</v>
      </c>
      <c r="J60">
        <v>20000</v>
      </c>
      <c r="K60">
        <v>8900000</v>
      </c>
      <c r="L60">
        <f>(Table1__2_1[[#This Row],[Outunit Price]]-Table1__2_1[[#This Row],[Unit Price]])*Table1__2_1[[#This Row],[Current Stock]]</f>
        <v>5840000</v>
      </c>
      <c r="M60" s="12">
        <v>0.39620081411126201</v>
      </c>
      <c r="N60" t="s">
        <v>224</v>
      </c>
    </row>
    <row r="61" spans="1:14" x14ac:dyDescent="0.3">
      <c r="A61" t="s">
        <v>131</v>
      </c>
      <c r="B61" t="s">
        <v>132</v>
      </c>
      <c r="C61" t="s">
        <v>42</v>
      </c>
      <c r="D61">
        <v>50</v>
      </c>
      <c r="E61">
        <v>200</v>
      </c>
      <c r="F61">
        <v>40</v>
      </c>
      <c r="G61">
        <v>671</v>
      </c>
      <c r="H61">
        <v>333</v>
      </c>
      <c r="I61">
        <v>33.300000000000004</v>
      </c>
      <c r="J61">
        <v>250</v>
      </c>
      <c r="K61">
        <v>83250</v>
      </c>
      <c r="L61">
        <f>(Table1__2_1[[#This Row],[Outunit Price]]-Table1__2_1[[#This Row],[Unit Price]])*Table1__2_1[[#This Row],[Current Stock]]</f>
        <v>84500</v>
      </c>
      <c r="M61" s="12">
        <v>0.50372578241430699</v>
      </c>
      <c r="N61" t="s">
        <v>226</v>
      </c>
    </row>
    <row r="62" spans="1:14" x14ac:dyDescent="0.3">
      <c r="A62" t="s">
        <v>133</v>
      </c>
      <c r="B62" t="s">
        <v>134</v>
      </c>
      <c r="C62" t="s">
        <v>38</v>
      </c>
      <c r="D62">
        <v>180</v>
      </c>
      <c r="E62">
        <v>500</v>
      </c>
      <c r="F62">
        <v>120</v>
      </c>
      <c r="G62">
        <v>959</v>
      </c>
      <c r="H62">
        <v>241</v>
      </c>
      <c r="I62">
        <v>24.1</v>
      </c>
      <c r="J62">
        <v>680</v>
      </c>
      <c r="K62">
        <v>163880</v>
      </c>
      <c r="L62">
        <f>(Table1__2_1[[#This Row],[Outunit Price]]-Table1__2_1[[#This Row],[Unit Price]])*Table1__2_1[[#This Row],[Current Stock]]</f>
        <v>488240</v>
      </c>
      <c r="M62" s="12">
        <v>0.74869655891553699</v>
      </c>
      <c r="N62" t="s">
        <v>225</v>
      </c>
    </row>
    <row r="63" spans="1:14" x14ac:dyDescent="0.3">
      <c r="A63" t="s">
        <v>135</v>
      </c>
      <c r="B63" t="s">
        <v>136</v>
      </c>
      <c r="C63" t="s">
        <v>38</v>
      </c>
      <c r="D63">
        <v>250</v>
      </c>
      <c r="E63">
        <v>700</v>
      </c>
      <c r="F63">
        <v>200</v>
      </c>
      <c r="G63">
        <v>792</v>
      </c>
      <c r="H63">
        <v>426</v>
      </c>
      <c r="I63">
        <v>42.6</v>
      </c>
      <c r="J63">
        <v>950</v>
      </c>
      <c r="K63">
        <v>404700</v>
      </c>
      <c r="L63">
        <f>(Table1__2_1[[#This Row],[Outunit Price]]-Table1__2_1[[#This Row],[Unit Price]])*Table1__2_1[[#This Row],[Current Stock]]</f>
        <v>347700</v>
      </c>
      <c r="M63" s="12">
        <v>0.46212121212121199</v>
      </c>
      <c r="N63" t="s">
        <v>225</v>
      </c>
    </row>
    <row r="64" spans="1:14" x14ac:dyDescent="0.3">
      <c r="A64" t="s">
        <v>137</v>
      </c>
      <c r="B64" t="s">
        <v>138</v>
      </c>
      <c r="C64" t="s">
        <v>38</v>
      </c>
      <c r="D64">
        <v>50</v>
      </c>
      <c r="E64">
        <v>150</v>
      </c>
      <c r="F64">
        <v>40</v>
      </c>
      <c r="G64">
        <v>818</v>
      </c>
      <c r="H64">
        <v>490</v>
      </c>
      <c r="I64">
        <v>49</v>
      </c>
      <c r="J64">
        <v>200</v>
      </c>
      <c r="K64">
        <v>98000</v>
      </c>
      <c r="L64">
        <f>(Table1__2_1[[#This Row],[Outunit Price]]-Table1__2_1[[#This Row],[Unit Price]])*Table1__2_1[[#This Row],[Current Stock]]</f>
        <v>65600</v>
      </c>
      <c r="M64" s="12">
        <v>0.40097799511002402</v>
      </c>
      <c r="N64" t="s">
        <v>226</v>
      </c>
    </row>
    <row r="65" spans="1:14" x14ac:dyDescent="0.3">
      <c r="A65" t="s">
        <v>139</v>
      </c>
      <c r="B65" t="s">
        <v>140</v>
      </c>
      <c r="C65" t="s">
        <v>40</v>
      </c>
      <c r="D65">
        <v>400</v>
      </c>
      <c r="E65">
        <v>1200</v>
      </c>
      <c r="F65">
        <v>300</v>
      </c>
      <c r="G65">
        <v>996</v>
      </c>
      <c r="H65">
        <v>323</v>
      </c>
      <c r="I65">
        <v>32.300000000000004</v>
      </c>
      <c r="J65">
        <v>1600</v>
      </c>
      <c r="K65">
        <v>516800</v>
      </c>
      <c r="L65">
        <f>(Table1__2_1[[#This Row],[Outunit Price]]-Table1__2_1[[#This Row],[Unit Price]])*Table1__2_1[[#This Row],[Current Stock]]</f>
        <v>1076800</v>
      </c>
      <c r="M65" s="12">
        <v>0.67570281124498</v>
      </c>
      <c r="N65" t="s">
        <v>224</v>
      </c>
    </row>
    <row r="66" spans="1:14" x14ac:dyDescent="0.3">
      <c r="A66" t="s">
        <v>141</v>
      </c>
      <c r="B66" t="s">
        <v>142</v>
      </c>
      <c r="C66" t="s">
        <v>45</v>
      </c>
      <c r="D66">
        <v>100</v>
      </c>
      <c r="E66">
        <v>400</v>
      </c>
      <c r="F66">
        <v>80</v>
      </c>
      <c r="G66">
        <v>566</v>
      </c>
      <c r="H66">
        <v>311</v>
      </c>
      <c r="I66">
        <v>31.1</v>
      </c>
      <c r="J66">
        <v>500</v>
      </c>
      <c r="K66">
        <v>155500</v>
      </c>
      <c r="L66">
        <f>(Table1__2_1[[#This Row],[Outunit Price]]-Table1__2_1[[#This Row],[Unit Price]])*Table1__2_1[[#This Row],[Current Stock]]</f>
        <v>127500</v>
      </c>
      <c r="M66" s="12">
        <v>0.45053003533568903</v>
      </c>
      <c r="N66" t="s">
        <v>225</v>
      </c>
    </row>
    <row r="67" spans="1:14" x14ac:dyDescent="0.3">
      <c r="A67" t="s">
        <v>143</v>
      </c>
      <c r="B67" t="s">
        <v>144</v>
      </c>
      <c r="C67" t="s">
        <v>40</v>
      </c>
      <c r="D67">
        <v>2000</v>
      </c>
      <c r="E67">
        <v>6000</v>
      </c>
      <c r="F67">
        <v>1000</v>
      </c>
      <c r="G67">
        <v>615</v>
      </c>
      <c r="H67">
        <v>325</v>
      </c>
      <c r="I67">
        <v>32.5</v>
      </c>
      <c r="J67">
        <v>8000</v>
      </c>
      <c r="K67">
        <v>2600000</v>
      </c>
      <c r="L67">
        <f>(Table1__2_1[[#This Row],[Outunit Price]]-Table1__2_1[[#This Row],[Unit Price]])*Table1__2_1[[#This Row],[Current Stock]]</f>
        <v>2320000</v>
      </c>
      <c r="M67" s="12">
        <v>0.47154471544715398</v>
      </c>
      <c r="N67" t="s">
        <v>224</v>
      </c>
    </row>
    <row r="68" spans="1:14" x14ac:dyDescent="0.3">
      <c r="A68" t="s">
        <v>145</v>
      </c>
      <c r="B68" t="s">
        <v>146</v>
      </c>
      <c r="C68" t="s">
        <v>45</v>
      </c>
      <c r="D68">
        <v>800</v>
      </c>
      <c r="E68">
        <v>2500</v>
      </c>
      <c r="F68">
        <v>500</v>
      </c>
      <c r="G68">
        <v>830</v>
      </c>
      <c r="H68">
        <v>376</v>
      </c>
      <c r="I68">
        <v>37.6</v>
      </c>
      <c r="J68">
        <v>3300</v>
      </c>
      <c r="K68">
        <v>1240800</v>
      </c>
      <c r="L68">
        <f>(Table1__2_1[[#This Row],[Outunit Price]]-Table1__2_1[[#This Row],[Unit Price]])*Table1__2_1[[#This Row],[Current Stock]]</f>
        <v>1498200</v>
      </c>
      <c r="M68" s="12">
        <v>0.54698795180722903</v>
      </c>
      <c r="N68" t="s">
        <v>224</v>
      </c>
    </row>
    <row r="69" spans="1:14" x14ac:dyDescent="0.3">
      <c r="A69" t="s">
        <v>147</v>
      </c>
      <c r="B69" t="s">
        <v>148</v>
      </c>
      <c r="C69" t="s">
        <v>45</v>
      </c>
      <c r="D69">
        <v>300</v>
      </c>
      <c r="E69">
        <v>900</v>
      </c>
      <c r="F69">
        <v>200</v>
      </c>
      <c r="G69">
        <v>657</v>
      </c>
      <c r="H69">
        <v>207</v>
      </c>
      <c r="I69">
        <v>20.700000000000003</v>
      </c>
      <c r="J69">
        <v>1200</v>
      </c>
      <c r="K69">
        <v>248400</v>
      </c>
      <c r="L69">
        <f>(Table1__2_1[[#This Row],[Outunit Price]]-Table1__2_1[[#This Row],[Unit Price]])*Table1__2_1[[#This Row],[Current Stock]]</f>
        <v>540000</v>
      </c>
      <c r="M69" s="12">
        <v>0.68493150684931503</v>
      </c>
      <c r="N69" t="s">
        <v>224</v>
      </c>
    </row>
    <row r="70" spans="1:14" x14ac:dyDescent="0.3">
      <c r="A70" t="s">
        <v>149</v>
      </c>
      <c r="B70" t="s">
        <v>150</v>
      </c>
      <c r="C70" t="s">
        <v>41</v>
      </c>
      <c r="D70">
        <v>30</v>
      </c>
      <c r="E70">
        <v>120</v>
      </c>
      <c r="F70">
        <v>25</v>
      </c>
      <c r="G70">
        <v>586</v>
      </c>
      <c r="H70">
        <v>285</v>
      </c>
      <c r="I70">
        <v>28.5</v>
      </c>
      <c r="J70">
        <v>150</v>
      </c>
      <c r="K70">
        <v>42750</v>
      </c>
      <c r="L70">
        <f>(Table1__2_1[[#This Row],[Outunit Price]]-Table1__2_1[[#This Row],[Unit Price]])*Table1__2_1[[#This Row],[Current Stock]]</f>
        <v>45150</v>
      </c>
      <c r="M70" s="12">
        <v>0.51365187713310601</v>
      </c>
      <c r="N70" t="s">
        <v>226</v>
      </c>
    </row>
    <row r="71" spans="1:14" x14ac:dyDescent="0.3">
      <c r="A71" t="s">
        <v>151</v>
      </c>
      <c r="B71" t="s">
        <v>152</v>
      </c>
      <c r="C71" t="s">
        <v>41</v>
      </c>
      <c r="D71">
        <v>15</v>
      </c>
      <c r="E71">
        <v>60</v>
      </c>
      <c r="F71">
        <v>15</v>
      </c>
      <c r="G71">
        <v>768</v>
      </c>
      <c r="H71">
        <v>442</v>
      </c>
      <c r="I71">
        <v>44.2</v>
      </c>
      <c r="J71">
        <v>75</v>
      </c>
      <c r="K71">
        <v>33150</v>
      </c>
      <c r="L71">
        <f>(Table1__2_1[[#This Row],[Outunit Price]]-Table1__2_1[[#This Row],[Unit Price]])*Table1__2_1[[#This Row],[Current Stock]]</f>
        <v>24450</v>
      </c>
      <c r="M71" s="12">
        <v>0.42447916666666702</v>
      </c>
      <c r="N71" t="s">
        <v>226</v>
      </c>
    </row>
    <row r="72" spans="1:14" x14ac:dyDescent="0.3">
      <c r="A72" t="s">
        <v>153</v>
      </c>
      <c r="B72" t="s">
        <v>154</v>
      </c>
      <c r="C72" t="s">
        <v>41</v>
      </c>
      <c r="D72">
        <v>10</v>
      </c>
      <c r="E72">
        <v>45</v>
      </c>
      <c r="F72">
        <v>10</v>
      </c>
      <c r="G72">
        <v>963</v>
      </c>
      <c r="H72">
        <v>303</v>
      </c>
      <c r="I72">
        <v>30.3</v>
      </c>
      <c r="J72">
        <v>55</v>
      </c>
      <c r="K72">
        <v>16665</v>
      </c>
      <c r="L72">
        <f>(Table1__2_1[[#This Row],[Outunit Price]]-Table1__2_1[[#This Row],[Unit Price]])*Table1__2_1[[#This Row],[Current Stock]]</f>
        <v>36300</v>
      </c>
      <c r="M72" s="12">
        <v>0.68535825545171303</v>
      </c>
      <c r="N72" t="s">
        <v>226</v>
      </c>
    </row>
    <row r="73" spans="1:14" x14ac:dyDescent="0.3">
      <c r="A73" t="s">
        <v>155</v>
      </c>
      <c r="B73" t="s">
        <v>156</v>
      </c>
      <c r="C73" t="s">
        <v>41</v>
      </c>
      <c r="D73">
        <v>40</v>
      </c>
      <c r="E73">
        <v>150</v>
      </c>
      <c r="F73">
        <v>30</v>
      </c>
      <c r="G73">
        <v>791</v>
      </c>
      <c r="H73">
        <v>338</v>
      </c>
      <c r="I73">
        <v>33.800000000000004</v>
      </c>
      <c r="J73">
        <v>190</v>
      </c>
      <c r="K73">
        <v>64220</v>
      </c>
      <c r="L73">
        <f>(Table1__2_1[[#This Row],[Outunit Price]]-Table1__2_1[[#This Row],[Unit Price]])*Table1__2_1[[#This Row],[Current Stock]]</f>
        <v>86070</v>
      </c>
      <c r="M73" s="12">
        <v>0.572692793931732</v>
      </c>
      <c r="N73" t="s">
        <v>226</v>
      </c>
    </row>
    <row r="74" spans="1:14" x14ac:dyDescent="0.3">
      <c r="A74" t="s">
        <v>157</v>
      </c>
      <c r="B74" t="s">
        <v>158</v>
      </c>
      <c r="C74" t="s">
        <v>41</v>
      </c>
      <c r="D74">
        <v>20</v>
      </c>
      <c r="E74">
        <v>100</v>
      </c>
      <c r="F74">
        <v>25</v>
      </c>
      <c r="G74">
        <v>817</v>
      </c>
      <c r="H74">
        <v>341</v>
      </c>
      <c r="I74">
        <v>34.1</v>
      </c>
      <c r="J74">
        <v>120</v>
      </c>
      <c r="K74">
        <v>40920</v>
      </c>
      <c r="L74">
        <f>(Table1__2_1[[#This Row],[Outunit Price]]-Table1__2_1[[#This Row],[Unit Price]])*Table1__2_1[[#This Row],[Current Stock]]</f>
        <v>57120</v>
      </c>
      <c r="M74" s="12">
        <v>0.58261933904528795</v>
      </c>
      <c r="N74" t="s">
        <v>226</v>
      </c>
    </row>
    <row r="75" spans="1:14" x14ac:dyDescent="0.3">
      <c r="A75" t="s">
        <v>159</v>
      </c>
      <c r="B75" t="s">
        <v>160</v>
      </c>
      <c r="C75" t="s">
        <v>41</v>
      </c>
      <c r="D75">
        <v>100</v>
      </c>
      <c r="E75">
        <v>500</v>
      </c>
      <c r="F75">
        <v>100</v>
      </c>
      <c r="G75">
        <v>976</v>
      </c>
      <c r="H75">
        <v>451</v>
      </c>
      <c r="I75">
        <v>45.1</v>
      </c>
      <c r="J75">
        <v>600</v>
      </c>
      <c r="K75">
        <v>270600</v>
      </c>
      <c r="L75">
        <f>(Table1__2_1[[#This Row],[Outunit Price]]-Table1__2_1[[#This Row],[Unit Price]])*Table1__2_1[[#This Row],[Current Stock]]</f>
        <v>315000</v>
      </c>
      <c r="M75" s="12">
        <v>0.53790983606557397</v>
      </c>
      <c r="N75" t="s">
        <v>225</v>
      </c>
    </row>
    <row r="76" spans="1:14" x14ac:dyDescent="0.3">
      <c r="A76" t="s">
        <v>161</v>
      </c>
      <c r="B76" t="s">
        <v>162</v>
      </c>
      <c r="C76" t="s">
        <v>41</v>
      </c>
      <c r="D76">
        <v>5</v>
      </c>
      <c r="E76">
        <v>20</v>
      </c>
      <c r="F76">
        <v>5</v>
      </c>
      <c r="G76">
        <v>989</v>
      </c>
      <c r="H76">
        <v>407</v>
      </c>
      <c r="I76">
        <v>40.700000000000003</v>
      </c>
      <c r="J76">
        <v>25</v>
      </c>
      <c r="K76">
        <v>10175</v>
      </c>
      <c r="L76">
        <f>(Table1__2_1[[#This Row],[Outunit Price]]-Table1__2_1[[#This Row],[Unit Price]])*Table1__2_1[[#This Row],[Current Stock]]</f>
        <v>14550</v>
      </c>
      <c r="M76" s="12">
        <v>0.58847320525783597</v>
      </c>
      <c r="N76" t="s">
        <v>226</v>
      </c>
    </row>
    <row r="77" spans="1:14" x14ac:dyDescent="0.3">
      <c r="A77" t="s">
        <v>163</v>
      </c>
      <c r="B77" t="s">
        <v>164</v>
      </c>
      <c r="C77" t="s">
        <v>41</v>
      </c>
      <c r="D77">
        <v>12</v>
      </c>
      <c r="E77">
        <v>50</v>
      </c>
      <c r="F77">
        <v>10</v>
      </c>
      <c r="G77">
        <v>979</v>
      </c>
      <c r="H77">
        <v>408</v>
      </c>
      <c r="I77">
        <v>40.800000000000004</v>
      </c>
      <c r="J77">
        <v>62</v>
      </c>
      <c r="K77">
        <v>25296</v>
      </c>
      <c r="L77">
        <f>(Table1__2_1[[#This Row],[Outunit Price]]-Table1__2_1[[#This Row],[Unit Price]])*Table1__2_1[[#This Row],[Current Stock]]</f>
        <v>35402</v>
      </c>
      <c r="M77" s="12">
        <v>0.583248212461696</v>
      </c>
      <c r="N77" t="s">
        <v>226</v>
      </c>
    </row>
    <row r="78" spans="1:14" x14ac:dyDescent="0.3">
      <c r="A78" t="s">
        <v>165</v>
      </c>
      <c r="B78" t="s">
        <v>166</v>
      </c>
      <c r="C78" t="s">
        <v>41</v>
      </c>
      <c r="D78">
        <v>6</v>
      </c>
      <c r="E78">
        <v>25</v>
      </c>
      <c r="F78">
        <v>8</v>
      </c>
      <c r="G78">
        <v>564</v>
      </c>
      <c r="H78">
        <v>443</v>
      </c>
      <c r="I78">
        <v>44.300000000000004</v>
      </c>
      <c r="J78">
        <v>31</v>
      </c>
      <c r="K78">
        <v>13733</v>
      </c>
      <c r="L78">
        <f>(Table1__2_1[[#This Row],[Outunit Price]]-Table1__2_1[[#This Row],[Unit Price]])*Table1__2_1[[#This Row],[Current Stock]]</f>
        <v>3751</v>
      </c>
      <c r="M78" s="12">
        <v>0.214539007092199</v>
      </c>
      <c r="N78" t="s">
        <v>226</v>
      </c>
    </row>
    <row r="79" spans="1:14" x14ac:dyDescent="0.3">
      <c r="A79" t="s">
        <v>167</v>
      </c>
      <c r="B79" t="s">
        <v>168</v>
      </c>
      <c r="C79" t="s">
        <v>41</v>
      </c>
      <c r="D79">
        <v>100</v>
      </c>
      <c r="E79">
        <v>400</v>
      </c>
      <c r="F79">
        <v>80</v>
      </c>
      <c r="G79">
        <v>740</v>
      </c>
      <c r="H79">
        <v>440</v>
      </c>
      <c r="I79">
        <v>44</v>
      </c>
      <c r="J79">
        <v>500</v>
      </c>
      <c r="K79">
        <v>220000</v>
      </c>
      <c r="L79">
        <f>(Table1__2_1[[#This Row],[Outunit Price]]-Table1__2_1[[#This Row],[Unit Price]])*Table1__2_1[[#This Row],[Current Stock]]</f>
        <v>150000</v>
      </c>
      <c r="M79" s="12">
        <v>0.40540540540540498</v>
      </c>
      <c r="N79" t="s">
        <v>225</v>
      </c>
    </row>
    <row r="80" spans="1:14" x14ac:dyDescent="0.3">
      <c r="A80" t="s">
        <v>169</v>
      </c>
      <c r="B80" t="s">
        <v>170</v>
      </c>
      <c r="C80" t="s">
        <v>41</v>
      </c>
      <c r="D80">
        <v>50</v>
      </c>
      <c r="E80">
        <v>200</v>
      </c>
      <c r="F80">
        <v>40</v>
      </c>
      <c r="G80">
        <v>967</v>
      </c>
      <c r="H80">
        <v>287</v>
      </c>
      <c r="I80">
        <v>28.700000000000003</v>
      </c>
      <c r="J80">
        <v>250</v>
      </c>
      <c r="K80">
        <v>71750</v>
      </c>
      <c r="L80">
        <f>(Table1__2_1[[#This Row],[Outunit Price]]-Table1__2_1[[#This Row],[Unit Price]])*Table1__2_1[[#This Row],[Current Stock]]</f>
        <v>170000</v>
      </c>
      <c r="M80" s="12">
        <v>0.70320579110651504</v>
      </c>
      <c r="N80" t="s">
        <v>226</v>
      </c>
    </row>
    <row r="81" spans="1:14" x14ac:dyDescent="0.3">
      <c r="A81" t="s">
        <v>171</v>
      </c>
      <c r="B81" t="s">
        <v>172</v>
      </c>
      <c r="C81" t="s">
        <v>41</v>
      </c>
      <c r="D81">
        <v>8</v>
      </c>
      <c r="E81">
        <v>30</v>
      </c>
      <c r="F81">
        <v>5</v>
      </c>
      <c r="G81">
        <v>608</v>
      </c>
      <c r="H81">
        <v>369</v>
      </c>
      <c r="I81">
        <v>36.9</v>
      </c>
      <c r="J81">
        <v>38</v>
      </c>
      <c r="K81">
        <v>14022</v>
      </c>
      <c r="L81">
        <f>(Table1__2_1[[#This Row],[Outunit Price]]-Table1__2_1[[#This Row],[Unit Price]])*Table1__2_1[[#This Row],[Current Stock]]</f>
        <v>9082</v>
      </c>
      <c r="M81" s="12">
        <v>0.39309210526315802</v>
      </c>
      <c r="N81" t="s">
        <v>226</v>
      </c>
    </row>
    <row r="82" spans="1:14" x14ac:dyDescent="0.3">
      <c r="A82" t="s">
        <v>173</v>
      </c>
      <c r="B82" t="s">
        <v>174</v>
      </c>
      <c r="C82" t="s">
        <v>38</v>
      </c>
      <c r="D82">
        <v>60</v>
      </c>
      <c r="E82">
        <v>200</v>
      </c>
      <c r="F82">
        <v>40</v>
      </c>
      <c r="G82">
        <v>723</v>
      </c>
      <c r="H82">
        <v>465</v>
      </c>
      <c r="I82">
        <v>46.5</v>
      </c>
      <c r="J82">
        <v>260</v>
      </c>
      <c r="K82">
        <v>120900</v>
      </c>
      <c r="L82">
        <f>(Table1__2_1[[#This Row],[Outunit Price]]-Table1__2_1[[#This Row],[Unit Price]])*Table1__2_1[[#This Row],[Current Stock]]</f>
        <v>67080</v>
      </c>
      <c r="M82" s="12">
        <v>0.35684647302904599</v>
      </c>
      <c r="N82" t="s">
        <v>226</v>
      </c>
    </row>
    <row r="83" spans="1:14" x14ac:dyDescent="0.3">
      <c r="A83" t="s">
        <v>175</v>
      </c>
      <c r="B83" t="s">
        <v>176</v>
      </c>
      <c r="C83" t="s">
        <v>38</v>
      </c>
      <c r="D83">
        <v>90</v>
      </c>
      <c r="E83">
        <v>300</v>
      </c>
      <c r="F83">
        <v>60</v>
      </c>
      <c r="G83">
        <v>518</v>
      </c>
      <c r="H83">
        <v>452</v>
      </c>
      <c r="I83">
        <v>45.2</v>
      </c>
      <c r="J83">
        <v>390</v>
      </c>
      <c r="K83">
        <v>176280</v>
      </c>
      <c r="L83">
        <f>(Table1__2_1[[#This Row],[Outunit Price]]-Table1__2_1[[#This Row],[Unit Price]])*Table1__2_1[[#This Row],[Current Stock]]</f>
        <v>25740</v>
      </c>
      <c r="M83" s="12">
        <v>0.12741312741312699</v>
      </c>
      <c r="N83" t="s">
        <v>226</v>
      </c>
    </row>
    <row r="84" spans="1:14" x14ac:dyDescent="0.3">
      <c r="A84" t="s">
        <v>177</v>
      </c>
      <c r="B84" t="s">
        <v>178</v>
      </c>
      <c r="C84" t="s">
        <v>38</v>
      </c>
      <c r="D84">
        <v>150</v>
      </c>
      <c r="E84">
        <v>450</v>
      </c>
      <c r="F84">
        <v>100</v>
      </c>
      <c r="G84">
        <v>574</v>
      </c>
      <c r="H84">
        <v>421</v>
      </c>
      <c r="I84">
        <v>42.1</v>
      </c>
      <c r="J84">
        <v>600</v>
      </c>
      <c r="K84">
        <v>252600</v>
      </c>
      <c r="L84">
        <f>(Table1__2_1[[#This Row],[Outunit Price]]-Table1__2_1[[#This Row],[Unit Price]])*Table1__2_1[[#This Row],[Current Stock]]</f>
        <v>91800</v>
      </c>
      <c r="M84" s="12">
        <v>0.26655052264808399</v>
      </c>
      <c r="N84" t="s">
        <v>225</v>
      </c>
    </row>
    <row r="85" spans="1:14" x14ac:dyDescent="0.3">
      <c r="A85" t="s">
        <v>179</v>
      </c>
      <c r="B85" t="s">
        <v>180</v>
      </c>
      <c r="C85" t="s">
        <v>38</v>
      </c>
      <c r="D85">
        <v>80</v>
      </c>
      <c r="E85">
        <v>300</v>
      </c>
      <c r="F85">
        <v>50</v>
      </c>
      <c r="G85">
        <v>960</v>
      </c>
      <c r="H85">
        <v>334</v>
      </c>
      <c r="I85">
        <v>33.4</v>
      </c>
      <c r="J85">
        <v>380</v>
      </c>
      <c r="K85">
        <v>126920</v>
      </c>
      <c r="L85">
        <f>(Table1__2_1[[#This Row],[Outunit Price]]-Table1__2_1[[#This Row],[Unit Price]])*Table1__2_1[[#This Row],[Current Stock]]</f>
        <v>237880</v>
      </c>
      <c r="M85" s="12">
        <v>0.65208333333333302</v>
      </c>
      <c r="N85" t="s">
        <v>226</v>
      </c>
    </row>
    <row r="86" spans="1:14" x14ac:dyDescent="0.3">
      <c r="A86" t="s">
        <v>181</v>
      </c>
      <c r="B86" t="s">
        <v>182</v>
      </c>
      <c r="C86" t="s">
        <v>38</v>
      </c>
      <c r="D86">
        <v>40</v>
      </c>
      <c r="E86">
        <v>150</v>
      </c>
      <c r="F86">
        <v>30</v>
      </c>
      <c r="G86">
        <v>632</v>
      </c>
      <c r="H86">
        <v>324</v>
      </c>
      <c r="I86">
        <v>32.4</v>
      </c>
      <c r="J86">
        <v>190</v>
      </c>
      <c r="K86">
        <v>61560</v>
      </c>
      <c r="L86">
        <f>(Table1__2_1[[#This Row],[Outunit Price]]-Table1__2_1[[#This Row],[Unit Price]])*Table1__2_1[[#This Row],[Current Stock]]</f>
        <v>58520</v>
      </c>
      <c r="M86" s="12">
        <v>0.487341772151899</v>
      </c>
      <c r="N86" t="s">
        <v>226</v>
      </c>
    </row>
    <row r="87" spans="1:14" x14ac:dyDescent="0.3">
      <c r="A87" t="s">
        <v>183</v>
      </c>
      <c r="B87" t="s">
        <v>184</v>
      </c>
      <c r="C87" t="s">
        <v>41</v>
      </c>
      <c r="D87">
        <v>30</v>
      </c>
      <c r="E87">
        <v>120</v>
      </c>
      <c r="F87">
        <v>25</v>
      </c>
      <c r="G87">
        <v>737</v>
      </c>
      <c r="H87">
        <v>293</v>
      </c>
      <c r="I87">
        <v>29.3</v>
      </c>
      <c r="J87">
        <v>150</v>
      </c>
      <c r="K87">
        <v>43950</v>
      </c>
      <c r="L87">
        <f>(Table1__2_1[[#This Row],[Outunit Price]]-Table1__2_1[[#This Row],[Unit Price]])*Table1__2_1[[#This Row],[Current Stock]]</f>
        <v>66600</v>
      </c>
      <c r="M87" s="12">
        <v>0.60244233378561696</v>
      </c>
      <c r="N87" t="s">
        <v>226</v>
      </c>
    </row>
    <row r="88" spans="1:14" x14ac:dyDescent="0.3">
      <c r="A88" t="s">
        <v>185</v>
      </c>
      <c r="B88" t="s">
        <v>186</v>
      </c>
      <c r="C88" t="s">
        <v>41</v>
      </c>
      <c r="D88">
        <v>25</v>
      </c>
      <c r="E88">
        <v>100</v>
      </c>
      <c r="F88">
        <v>20</v>
      </c>
      <c r="G88">
        <v>698</v>
      </c>
      <c r="H88">
        <v>338</v>
      </c>
      <c r="I88">
        <v>33.800000000000004</v>
      </c>
      <c r="J88">
        <v>125</v>
      </c>
      <c r="K88">
        <v>42250</v>
      </c>
      <c r="L88">
        <f>(Table1__2_1[[#This Row],[Outunit Price]]-Table1__2_1[[#This Row],[Unit Price]])*Table1__2_1[[#This Row],[Current Stock]]</f>
        <v>45000</v>
      </c>
      <c r="M88" s="12">
        <v>0.51575931232091698</v>
      </c>
      <c r="N88" t="s">
        <v>226</v>
      </c>
    </row>
    <row r="89" spans="1:14" x14ac:dyDescent="0.3">
      <c r="A89" t="s">
        <v>187</v>
      </c>
      <c r="B89" t="s">
        <v>188</v>
      </c>
      <c r="C89" t="s">
        <v>41</v>
      </c>
      <c r="D89">
        <v>50</v>
      </c>
      <c r="E89">
        <v>200</v>
      </c>
      <c r="F89">
        <v>40</v>
      </c>
      <c r="G89">
        <v>699</v>
      </c>
      <c r="H89">
        <v>438</v>
      </c>
      <c r="I89">
        <v>43.800000000000004</v>
      </c>
      <c r="J89">
        <v>250</v>
      </c>
      <c r="K89">
        <v>109500</v>
      </c>
      <c r="L89">
        <f>(Table1__2_1[[#This Row],[Outunit Price]]-Table1__2_1[[#This Row],[Unit Price]])*Table1__2_1[[#This Row],[Current Stock]]</f>
        <v>65250</v>
      </c>
      <c r="M89" s="12">
        <v>0.37339055793991399</v>
      </c>
      <c r="N89" t="s">
        <v>226</v>
      </c>
    </row>
    <row r="90" spans="1:14" x14ac:dyDescent="0.3">
      <c r="A90" t="s">
        <v>189</v>
      </c>
      <c r="B90" t="s">
        <v>190</v>
      </c>
      <c r="C90" t="s">
        <v>40</v>
      </c>
      <c r="D90">
        <v>200</v>
      </c>
      <c r="E90">
        <v>600</v>
      </c>
      <c r="F90">
        <v>150</v>
      </c>
      <c r="G90">
        <v>818</v>
      </c>
      <c r="H90">
        <v>288</v>
      </c>
      <c r="I90">
        <v>28.8</v>
      </c>
      <c r="J90">
        <v>800</v>
      </c>
      <c r="K90">
        <v>230400</v>
      </c>
      <c r="L90">
        <f>(Table1__2_1[[#This Row],[Outunit Price]]-Table1__2_1[[#This Row],[Unit Price]])*Table1__2_1[[#This Row],[Current Stock]]</f>
        <v>424000</v>
      </c>
      <c r="M90" s="12">
        <v>0.64792176039119798</v>
      </c>
      <c r="N90" t="s">
        <v>225</v>
      </c>
    </row>
    <row r="91" spans="1:14" x14ac:dyDescent="0.3">
      <c r="A91" t="s">
        <v>191</v>
      </c>
      <c r="B91" t="s">
        <v>192</v>
      </c>
      <c r="C91" t="s">
        <v>40</v>
      </c>
      <c r="D91">
        <v>120</v>
      </c>
      <c r="E91">
        <v>400</v>
      </c>
      <c r="F91">
        <v>80</v>
      </c>
      <c r="G91">
        <v>985</v>
      </c>
      <c r="H91">
        <v>456</v>
      </c>
      <c r="I91">
        <v>45.6</v>
      </c>
      <c r="J91">
        <v>520</v>
      </c>
      <c r="K91">
        <v>237120</v>
      </c>
      <c r="L91">
        <f>(Table1__2_1[[#This Row],[Outunit Price]]-Table1__2_1[[#This Row],[Unit Price]])*Table1__2_1[[#This Row],[Current Stock]]</f>
        <v>275080</v>
      </c>
      <c r="M91" s="12">
        <v>0.53705583756345199</v>
      </c>
      <c r="N91" t="s">
        <v>225</v>
      </c>
    </row>
    <row r="92" spans="1:14" x14ac:dyDescent="0.3">
      <c r="A92" t="s">
        <v>193</v>
      </c>
      <c r="B92" t="s">
        <v>194</v>
      </c>
      <c r="C92" t="s">
        <v>45</v>
      </c>
      <c r="D92">
        <v>500</v>
      </c>
      <c r="E92">
        <v>2000</v>
      </c>
      <c r="F92">
        <v>400</v>
      </c>
      <c r="G92">
        <v>817</v>
      </c>
      <c r="H92">
        <v>218</v>
      </c>
      <c r="I92">
        <v>21.8</v>
      </c>
      <c r="J92">
        <v>2500</v>
      </c>
      <c r="K92">
        <v>545000</v>
      </c>
      <c r="L92">
        <f>(Table1__2_1[[#This Row],[Outunit Price]]-Table1__2_1[[#This Row],[Unit Price]])*Table1__2_1[[#This Row],[Current Stock]]</f>
        <v>1497500</v>
      </c>
      <c r="M92" s="12">
        <v>0.733170134638923</v>
      </c>
      <c r="N92" t="s">
        <v>224</v>
      </c>
    </row>
    <row r="93" spans="1:14" x14ac:dyDescent="0.3">
      <c r="A93" t="s">
        <v>195</v>
      </c>
      <c r="B93" t="s">
        <v>196</v>
      </c>
      <c r="C93" t="s">
        <v>45</v>
      </c>
      <c r="D93">
        <v>5000</v>
      </c>
      <c r="E93">
        <v>20000</v>
      </c>
      <c r="F93">
        <v>3000</v>
      </c>
      <c r="G93">
        <v>856</v>
      </c>
      <c r="H93">
        <v>365</v>
      </c>
      <c r="I93">
        <v>36.5</v>
      </c>
      <c r="J93">
        <v>25000</v>
      </c>
      <c r="K93">
        <v>9125000</v>
      </c>
      <c r="L93">
        <f>(Table1__2_1[[#This Row],[Outunit Price]]-Table1__2_1[[#This Row],[Unit Price]])*Table1__2_1[[#This Row],[Current Stock]]</f>
        <v>12275000</v>
      </c>
      <c r="M93" s="12">
        <v>0.57359813084112199</v>
      </c>
      <c r="N93" t="s">
        <v>224</v>
      </c>
    </row>
    <row r="94" spans="1:14" x14ac:dyDescent="0.3">
      <c r="A94" t="s">
        <v>197</v>
      </c>
      <c r="B94" t="s">
        <v>198</v>
      </c>
      <c r="C94" t="s">
        <v>45</v>
      </c>
      <c r="D94">
        <v>40</v>
      </c>
      <c r="E94">
        <v>150</v>
      </c>
      <c r="F94">
        <v>30</v>
      </c>
      <c r="G94">
        <v>810</v>
      </c>
      <c r="H94">
        <v>308</v>
      </c>
      <c r="I94">
        <v>30.8</v>
      </c>
      <c r="J94">
        <v>190</v>
      </c>
      <c r="K94">
        <v>58520</v>
      </c>
      <c r="L94">
        <f>(Table1__2_1[[#This Row],[Outunit Price]]-Table1__2_1[[#This Row],[Unit Price]])*Table1__2_1[[#This Row],[Current Stock]]</f>
        <v>95380</v>
      </c>
      <c r="M94" s="12">
        <v>0.61975308641975302</v>
      </c>
      <c r="N94" t="s">
        <v>226</v>
      </c>
    </row>
    <row r="95" spans="1:14" x14ac:dyDescent="0.3">
      <c r="A95" t="s">
        <v>199</v>
      </c>
      <c r="B95" t="s">
        <v>200</v>
      </c>
      <c r="C95" t="s">
        <v>38</v>
      </c>
      <c r="D95">
        <v>20</v>
      </c>
      <c r="E95">
        <v>100</v>
      </c>
      <c r="F95">
        <v>15</v>
      </c>
      <c r="G95">
        <v>503</v>
      </c>
      <c r="H95">
        <v>421</v>
      </c>
      <c r="I95">
        <v>42.1</v>
      </c>
      <c r="J95">
        <v>120</v>
      </c>
      <c r="K95">
        <v>50520</v>
      </c>
      <c r="L95">
        <f>(Table1__2_1[[#This Row],[Outunit Price]]-Table1__2_1[[#This Row],[Unit Price]])*Table1__2_1[[#This Row],[Current Stock]]</f>
        <v>9840</v>
      </c>
      <c r="M95" s="12">
        <v>0.16302186878727601</v>
      </c>
      <c r="N95" t="s">
        <v>226</v>
      </c>
    </row>
    <row r="96" spans="1:14" x14ac:dyDescent="0.3">
      <c r="A96" t="s">
        <v>201</v>
      </c>
      <c r="B96" t="s">
        <v>202</v>
      </c>
      <c r="C96" t="s">
        <v>40</v>
      </c>
      <c r="D96">
        <v>150</v>
      </c>
      <c r="E96">
        <v>500</v>
      </c>
      <c r="F96">
        <v>100</v>
      </c>
      <c r="G96">
        <v>913</v>
      </c>
      <c r="H96">
        <v>362</v>
      </c>
      <c r="I96">
        <v>36.200000000000003</v>
      </c>
      <c r="J96">
        <v>650</v>
      </c>
      <c r="K96">
        <v>235300</v>
      </c>
      <c r="L96">
        <f>(Table1__2_1[[#This Row],[Outunit Price]]-Table1__2_1[[#This Row],[Unit Price]])*Table1__2_1[[#This Row],[Current Stock]]</f>
        <v>358150</v>
      </c>
      <c r="M96" s="12">
        <v>0.60350492880613404</v>
      </c>
      <c r="N96" t="s">
        <v>225</v>
      </c>
    </row>
    <row r="97" spans="1:14" x14ac:dyDescent="0.3">
      <c r="A97" t="s">
        <v>203</v>
      </c>
      <c r="B97" t="s">
        <v>204</v>
      </c>
      <c r="C97" t="s">
        <v>41</v>
      </c>
      <c r="D97">
        <v>10</v>
      </c>
      <c r="E97">
        <v>40</v>
      </c>
      <c r="F97">
        <v>10</v>
      </c>
      <c r="G97">
        <v>988</v>
      </c>
      <c r="H97">
        <v>349</v>
      </c>
      <c r="I97">
        <v>34.9</v>
      </c>
      <c r="J97">
        <v>50</v>
      </c>
      <c r="K97">
        <v>17450</v>
      </c>
      <c r="L97">
        <f>(Table1__2_1[[#This Row],[Outunit Price]]-Table1__2_1[[#This Row],[Unit Price]])*Table1__2_1[[#This Row],[Current Stock]]</f>
        <v>31950</v>
      </c>
      <c r="M97" s="12">
        <v>0.64676113360323895</v>
      </c>
      <c r="N97" t="s">
        <v>226</v>
      </c>
    </row>
    <row r="98" spans="1:14" x14ac:dyDescent="0.3">
      <c r="A98" t="s">
        <v>205</v>
      </c>
      <c r="B98" t="s">
        <v>206</v>
      </c>
      <c r="C98" t="s">
        <v>41</v>
      </c>
      <c r="D98">
        <v>4</v>
      </c>
      <c r="E98">
        <v>15</v>
      </c>
      <c r="F98">
        <v>5</v>
      </c>
      <c r="G98">
        <v>617</v>
      </c>
      <c r="H98">
        <v>306</v>
      </c>
      <c r="I98">
        <v>30.6</v>
      </c>
      <c r="J98">
        <v>19</v>
      </c>
      <c r="K98">
        <v>5814</v>
      </c>
      <c r="L98">
        <f>(Table1__2_1[[#This Row],[Outunit Price]]-Table1__2_1[[#This Row],[Unit Price]])*Table1__2_1[[#This Row],[Current Stock]]</f>
        <v>5909</v>
      </c>
      <c r="M98" s="12">
        <v>0.50405186385737399</v>
      </c>
      <c r="N98" t="s">
        <v>226</v>
      </c>
    </row>
    <row r="99" spans="1:14" x14ac:dyDescent="0.3">
      <c r="A99" t="s">
        <v>207</v>
      </c>
      <c r="B99" t="s">
        <v>208</v>
      </c>
      <c r="C99" t="s">
        <v>41</v>
      </c>
      <c r="D99">
        <v>6</v>
      </c>
      <c r="E99">
        <v>25</v>
      </c>
      <c r="F99">
        <v>6</v>
      </c>
      <c r="G99">
        <v>507</v>
      </c>
      <c r="H99">
        <v>459</v>
      </c>
      <c r="I99">
        <v>45.900000000000006</v>
      </c>
      <c r="J99">
        <v>31</v>
      </c>
      <c r="K99">
        <v>14229</v>
      </c>
      <c r="L99">
        <f>(Table1__2_1[[#This Row],[Outunit Price]]-Table1__2_1[[#This Row],[Unit Price]])*Table1__2_1[[#This Row],[Current Stock]]</f>
        <v>1488</v>
      </c>
      <c r="M99" s="12">
        <v>9.4674556213017805E-2</v>
      </c>
      <c r="N99" t="s">
        <v>226</v>
      </c>
    </row>
    <row r="100" spans="1:14" x14ac:dyDescent="0.3">
      <c r="A100" t="s">
        <v>209</v>
      </c>
      <c r="B100" t="s">
        <v>210</v>
      </c>
      <c r="C100" t="s">
        <v>41</v>
      </c>
      <c r="D100">
        <v>8</v>
      </c>
      <c r="E100">
        <v>30</v>
      </c>
      <c r="F100">
        <v>8</v>
      </c>
      <c r="G100">
        <v>807</v>
      </c>
      <c r="H100">
        <v>299</v>
      </c>
      <c r="I100">
        <v>29.900000000000002</v>
      </c>
      <c r="J100">
        <v>38</v>
      </c>
      <c r="K100">
        <v>11362</v>
      </c>
      <c r="L100">
        <f>(Table1__2_1[[#This Row],[Outunit Price]]-Table1__2_1[[#This Row],[Unit Price]])*Table1__2_1[[#This Row],[Current Stock]]</f>
        <v>19304</v>
      </c>
      <c r="M100" s="12">
        <v>0.62949194547707599</v>
      </c>
      <c r="N100" t="s">
        <v>226</v>
      </c>
    </row>
    <row r="101" spans="1:14" x14ac:dyDescent="0.3">
      <c r="A101" t="s">
        <v>211</v>
      </c>
      <c r="B101" t="s">
        <v>212</v>
      </c>
      <c r="C101" t="s">
        <v>42</v>
      </c>
      <c r="D101">
        <v>40</v>
      </c>
      <c r="E101">
        <v>150</v>
      </c>
      <c r="F101">
        <v>30</v>
      </c>
      <c r="G101">
        <v>578</v>
      </c>
      <c r="H101">
        <v>244</v>
      </c>
      <c r="I101">
        <v>24.400000000000002</v>
      </c>
      <c r="J101">
        <v>190</v>
      </c>
      <c r="K101">
        <v>46360</v>
      </c>
      <c r="L101">
        <f>(Table1__2_1[[#This Row],[Outunit Price]]-Table1__2_1[[#This Row],[Unit Price]])*Table1__2_1[[#This Row],[Current Stock]]</f>
        <v>63460</v>
      </c>
      <c r="M101" s="12">
        <v>0.57785467128027701</v>
      </c>
      <c r="N101" t="s">
        <v>226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AD43-7F77-4F0A-BC62-0B43AAD0E496}">
  <dimension ref="A1:I101"/>
  <sheetViews>
    <sheetView topLeftCell="A75" workbookViewId="0">
      <selection sqref="A1:I10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88671875" bestFit="1" customWidth="1"/>
    <col min="4" max="4" width="15.5546875" bestFit="1" customWidth="1"/>
    <col min="5" max="5" width="15" bestFit="1" customWidth="1"/>
    <col min="6" max="6" width="9.88671875" bestFit="1" customWidth="1"/>
    <col min="7" max="7" width="14.21875" bestFit="1" customWidth="1"/>
    <col min="8" max="8" width="11.33203125" bestFit="1" customWidth="1"/>
    <col min="9" max="9" width="10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6</v>
      </c>
      <c r="H1" t="s">
        <v>218</v>
      </c>
      <c r="I1" t="s">
        <v>221</v>
      </c>
    </row>
    <row r="2" spans="1:9" x14ac:dyDescent="0.3">
      <c r="A2" t="s">
        <v>8</v>
      </c>
      <c r="B2" t="s">
        <v>43</v>
      </c>
      <c r="C2" t="s">
        <v>38</v>
      </c>
      <c r="D2">
        <v>500</v>
      </c>
      <c r="E2">
        <v>1200</v>
      </c>
      <c r="F2">
        <v>300</v>
      </c>
      <c r="G2">
        <v>945</v>
      </c>
      <c r="H2">
        <v>340</v>
      </c>
      <c r="I2">
        <v>34</v>
      </c>
    </row>
    <row r="3" spans="1:9" x14ac:dyDescent="0.3">
      <c r="A3" t="s">
        <v>9</v>
      </c>
      <c r="B3" t="s">
        <v>39</v>
      </c>
      <c r="C3" t="s">
        <v>40</v>
      </c>
      <c r="D3">
        <v>1500</v>
      </c>
      <c r="E3">
        <v>3000</v>
      </c>
      <c r="F3">
        <v>500</v>
      </c>
      <c r="G3">
        <v>691</v>
      </c>
      <c r="H3">
        <v>444</v>
      </c>
      <c r="I3">
        <v>44.400000000000006</v>
      </c>
    </row>
    <row r="4" spans="1:9" x14ac:dyDescent="0.3">
      <c r="A4" t="s">
        <v>10</v>
      </c>
      <c r="B4" t="s">
        <v>44</v>
      </c>
      <c r="C4" t="s">
        <v>45</v>
      </c>
      <c r="D4">
        <v>2000</v>
      </c>
      <c r="E4">
        <v>5000</v>
      </c>
      <c r="F4">
        <v>800</v>
      </c>
      <c r="G4">
        <v>548</v>
      </c>
      <c r="H4">
        <v>237</v>
      </c>
      <c r="I4">
        <v>23.700000000000003</v>
      </c>
    </row>
    <row r="5" spans="1:9" x14ac:dyDescent="0.3">
      <c r="A5" t="s">
        <v>11</v>
      </c>
      <c r="B5" t="s">
        <v>46</v>
      </c>
      <c r="C5" t="s">
        <v>45</v>
      </c>
      <c r="D5">
        <v>10000</v>
      </c>
      <c r="E5">
        <v>25000</v>
      </c>
      <c r="F5">
        <v>2000</v>
      </c>
      <c r="G5">
        <v>692</v>
      </c>
      <c r="H5">
        <v>474</v>
      </c>
      <c r="I5">
        <v>47.400000000000006</v>
      </c>
    </row>
    <row r="6" spans="1:9" x14ac:dyDescent="0.3">
      <c r="A6" t="s">
        <v>12</v>
      </c>
      <c r="B6" t="s">
        <v>47</v>
      </c>
      <c r="C6" t="s">
        <v>38</v>
      </c>
      <c r="D6">
        <v>200</v>
      </c>
      <c r="E6">
        <v>450</v>
      </c>
      <c r="F6">
        <v>100</v>
      </c>
      <c r="G6">
        <v>845</v>
      </c>
      <c r="H6">
        <v>300</v>
      </c>
      <c r="I6">
        <v>30</v>
      </c>
    </row>
    <row r="7" spans="1:9" x14ac:dyDescent="0.3">
      <c r="A7" t="s">
        <v>13</v>
      </c>
      <c r="B7" t="s">
        <v>48</v>
      </c>
      <c r="C7" t="s">
        <v>40</v>
      </c>
      <c r="D7">
        <v>800</v>
      </c>
      <c r="E7">
        <v>1500</v>
      </c>
      <c r="F7">
        <v>400</v>
      </c>
      <c r="G7">
        <v>620</v>
      </c>
      <c r="H7">
        <v>269</v>
      </c>
      <c r="I7">
        <v>26.900000000000002</v>
      </c>
    </row>
    <row r="8" spans="1:9" x14ac:dyDescent="0.3">
      <c r="A8" t="s">
        <v>14</v>
      </c>
      <c r="B8" t="s">
        <v>49</v>
      </c>
      <c r="C8" t="s">
        <v>41</v>
      </c>
      <c r="D8">
        <v>50</v>
      </c>
      <c r="E8">
        <v>200</v>
      </c>
      <c r="F8">
        <v>30</v>
      </c>
      <c r="G8">
        <v>921</v>
      </c>
      <c r="H8">
        <v>300</v>
      </c>
      <c r="I8">
        <v>30</v>
      </c>
    </row>
    <row r="9" spans="1:9" x14ac:dyDescent="0.3">
      <c r="A9" t="s">
        <v>15</v>
      </c>
      <c r="B9" t="s">
        <v>50</v>
      </c>
      <c r="C9" t="s">
        <v>42</v>
      </c>
      <c r="D9">
        <v>100</v>
      </c>
      <c r="E9">
        <v>300</v>
      </c>
      <c r="F9">
        <v>50</v>
      </c>
      <c r="G9">
        <v>745</v>
      </c>
      <c r="H9">
        <v>310</v>
      </c>
      <c r="I9">
        <v>31</v>
      </c>
    </row>
    <row r="10" spans="1:9" x14ac:dyDescent="0.3">
      <c r="A10" t="s">
        <v>16</v>
      </c>
      <c r="B10" t="s">
        <v>51</v>
      </c>
      <c r="C10" t="s">
        <v>40</v>
      </c>
      <c r="D10">
        <v>5000</v>
      </c>
      <c r="E10">
        <v>10000</v>
      </c>
      <c r="F10">
        <v>1000</v>
      </c>
      <c r="G10">
        <v>887</v>
      </c>
      <c r="H10">
        <v>478</v>
      </c>
      <c r="I10">
        <v>47.800000000000004</v>
      </c>
    </row>
    <row r="11" spans="1:9" x14ac:dyDescent="0.3">
      <c r="A11" t="s">
        <v>17</v>
      </c>
      <c r="B11" t="s">
        <v>52</v>
      </c>
      <c r="C11" t="s">
        <v>42</v>
      </c>
      <c r="D11">
        <v>20000</v>
      </c>
      <c r="E11">
        <v>50000</v>
      </c>
      <c r="F11">
        <v>5000</v>
      </c>
      <c r="G11">
        <v>816</v>
      </c>
      <c r="H11">
        <v>444</v>
      </c>
      <c r="I11">
        <v>44.400000000000006</v>
      </c>
    </row>
    <row r="12" spans="1:9" x14ac:dyDescent="0.3">
      <c r="A12" t="s">
        <v>18</v>
      </c>
      <c r="B12" t="s">
        <v>53</v>
      </c>
      <c r="C12" t="s">
        <v>38</v>
      </c>
      <c r="D12">
        <v>150</v>
      </c>
      <c r="E12">
        <v>400</v>
      </c>
      <c r="F12">
        <v>80</v>
      </c>
      <c r="G12">
        <v>599</v>
      </c>
      <c r="H12">
        <v>315</v>
      </c>
      <c r="I12">
        <v>31.5</v>
      </c>
    </row>
    <row r="13" spans="1:9" x14ac:dyDescent="0.3">
      <c r="A13" t="s">
        <v>19</v>
      </c>
      <c r="B13" t="s">
        <v>54</v>
      </c>
      <c r="C13" t="s">
        <v>38</v>
      </c>
      <c r="D13">
        <v>300</v>
      </c>
      <c r="E13">
        <v>800</v>
      </c>
      <c r="F13">
        <v>200</v>
      </c>
      <c r="G13">
        <v>900</v>
      </c>
      <c r="H13">
        <v>323</v>
      </c>
      <c r="I13">
        <v>32.300000000000004</v>
      </c>
    </row>
    <row r="14" spans="1:9" x14ac:dyDescent="0.3">
      <c r="A14" t="s">
        <v>20</v>
      </c>
      <c r="B14" t="s">
        <v>55</v>
      </c>
      <c r="C14" t="s">
        <v>45</v>
      </c>
      <c r="D14">
        <v>3000</v>
      </c>
      <c r="E14">
        <v>7000</v>
      </c>
      <c r="F14">
        <v>1500</v>
      </c>
      <c r="G14">
        <v>619</v>
      </c>
      <c r="H14">
        <v>384</v>
      </c>
      <c r="I14">
        <v>38.400000000000006</v>
      </c>
    </row>
    <row r="15" spans="1:9" x14ac:dyDescent="0.3">
      <c r="A15" t="s">
        <v>21</v>
      </c>
      <c r="B15" t="s">
        <v>56</v>
      </c>
      <c r="C15" t="s">
        <v>40</v>
      </c>
      <c r="D15">
        <v>400</v>
      </c>
      <c r="E15">
        <v>1000</v>
      </c>
      <c r="F15">
        <v>200</v>
      </c>
      <c r="G15">
        <v>519</v>
      </c>
      <c r="H15">
        <v>414</v>
      </c>
      <c r="I15">
        <v>41.400000000000006</v>
      </c>
    </row>
    <row r="16" spans="1:9" x14ac:dyDescent="0.3">
      <c r="A16" t="s">
        <v>22</v>
      </c>
      <c r="B16" t="s">
        <v>57</v>
      </c>
      <c r="C16" t="s">
        <v>38</v>
      </c>
      <c r="D16">
        <v>600</v>
      </c>
      <c r="E16">
        <v>1200</v>
      </c>
      <c r="F16">
        <v>300</v>
      </c>
      <c r="G16">
        <v>541</v>
      </c>
      <c r="H16">
        <v>464</v>
      </c>
      <c r="I16">
        <v>46.400000000000006</v>
      </c>
    </row>
    <row r="17" spans="1:9" x14ac:dyDescent="0.3">
      <c r="A17" t="s">
        <v>23</v>
      </c>
      <c r="B17" t="s">
        <v>58</v>
      </c>
      <c r="C17" t="s">
        <v>38</v>
      </c>
      <c r="D17">
        <v>250</v>
      </c>
      <c r="E17">
        <v>550</v>
      </c>
      <c r="F17">
        <v>150</v>
      </c>
      <c r="G17">
        <v>512</v>
      </c>
      <c r="H17">
        <v>258</v>
      </c>
      <c r="I17">
        <v>25.8</v>
      </c>
    </row>
    <row r="18" spans="1:9" x14ac:dyDescent="0.3">
      <c r="A18" t="s">
        <v>24</v>
      </c>
      <c r="B18" t="s">
        <v>59</v>
      </c>
      <c r="C18" t="s">
        <v>45</v>
      </c>
      <c r="D18">
        <v>100</v>
      </c>
      <c r="E18">
        <v>500</v>
      </c>
      <c r="F18">
        <v>100</v>
      </c>
      <c r="G18">
        <v>777</v>
      </c>
      <c r="H18">
        <v>379</v>
      </c>
      <c r="I18">
        <v>37.9</v>
      </c>
    </row>
    <row r="19" spans="1:9" x14ac:dyDescent="0.3">
      <c r="A19" t="s">
        <v>25</v>
      </c>
      <c r="B19" t="s">
        <v>60</v>
      </c>
      <c r="C19" t="s">
        <v>42</v>
      </c>
      <c r="D19">
        <v>500</v>
      </c>
      <c r="E19">
        <v>1500</v>
      </c>
      <c r="F19">
        <v>300</v>
      </c>
      <c r="G19">
        <v>830</v>
      </c>
      <c r="H19">
        <v>249</v>
      </c>
      <c r="I19">
        <v>24.900000000000002</v>
      </c>
    </row>
    <row r="20" spans="1:9" x14ac:dyDescent="0.3">
      <c r="A20" t="s">
        <v>26</v>
      </c>
      <c r="B20" t="s">
        <v>61</v>
      </c>
      <c r="C20" t="s">
        <v>45</v>
      </c>
      <c r="D20">
        <v>8000</v>
      </c>
      <c r="E20">
        <v>15000</v>
      </c>
      <c r="F20">
        <v>2000</v>
      </c>
      <c r="G20">
        <v>509</v>
      </c>
      <c r="H20">
        <v>439</v>
      </c>
      <c r="I20">
        <v>43.900000000000006</v>
      </c>
    </row>
    <row r="21" spans="1:9" x14ac:dyDescent="0.3">
      <c r="A21" t="s">
        <v>27</v>
      </c>
      <c r="B21" t="s">
        <v>62</v>
      </c>
      <c r="C21" t="s">
        <v>38</v>
      </c>
      <c r="D21">
        <v>400</v>
      </c>
      <c r="E21">
        <v>1000</v>
      </c>
      <c r="F21">
        <v>300</v>
      </c>
      <c r="G21">
        <v>799</v>
      </c>
      <c r="H21">
        <v>390</v>
      </c>
      <c r="I21">
        <v>39</v>
      </c>
    </row>
    <row r="22" spans="1:9" x14ac:dyDescent="0.3">
      <c r="A22" t="s">
        <v>28</v>
      </c>
      <c r="B22" t="s">
        <v>63</v>
      </c>
      <c r="C22" t="s">
        <v>38</v>
      </c>
      <c r="D22">
        <v>120</v>
      </c>
      <c r="E22">
        <v>350</v>
      </c>
      <c r="F22">
        <v>100</v>
      </c>
      <c r="G22">
        <v>886</v>
      </c>
      <c r="H22">
        <v>473</v>
      </c>
      <c r="I22">
        <v>47.300000000000004</v>
      </c>
    </row>
    <row r="23" spans="1:9" x14ac:dyDescent="0.3">
      <c r="A23" t="s">
        <v>29</v>
      </c>
      <c r="B23" t="s">
        <v>64</v>
      </c>
      <c r="C23" t="s">
        <v>40</v>
      </c>
      <c r="D23">
        <v>600</v>
      </c>
      <c r="E23">
        <v>1200</v>
      </c>
      <c r="F23">
        <v>400</v>
      </c>
      <c r="G23">
        <v>601</v>
      </c>
      <c r="H23">
        <v>216</v>
      </c>
      <c r="I23">
        <v>21.6</v>
      </c>
    </row>
    <row r="24" spans="1:9" x14ac:dyDescent="0.3">
      <c r="A24" t="s">
        <v>30</v>
      </c>
      <c r="B24" t="s">
        <v>65</v>
      </c>
      <c r="C24" t="s">
        <v>45</v>
      </c>
      <c r="D24">
        <v>2000</v>
      </c>
      <c r="E24">
        <v>4000</v>
      </c>
      <c r="F24">
        <v>800</v>
      </c>
      <c r="G24">
        <v>973</v>
      </c>
      <c r="H24">
        <v>447</v>
      </c>
      <c r="I24">
        <v>44.7</v>
      </c>
    </row>
    <row r="25" spans="1:9" x14ac:dyDescent="0.3">
      <c r="A25" t="s">
        <v>31</v>
      </c>
      <c r="B25" t="s">
        <v>66</v>
      </c>
      <c r="C25" t="s">
        <v>42</v>
      </c>
      <c r="D25">
        <v>5000</v>
      </c>
      <c r="E25">
        <v>12000</v>
      </c>
      <c r="F25">
        <v>1000</v>
      </c>
      <c r="G25">
        <v>932</v>
      </c>
      <c r="H25">
        <v>494</v>
      </c>
      <c r="I25">
        <v>49.400000000000006</v>
      </c>
    </row>
    <row r="26" spans="1:9" x14ac:dyDescent="0.3">
      <c r="A26" t="s">
        <v>32</v>
      </c>
      <c r="B26" t="s">
        <v>67</v>
      </c>
      <c r="C26" t="s">
        <v>38</v>
      </c>
      <c r="D26">
        <v>80</v>
      </c>
      <c r="E26">
        <v>250</v>
      </c>
      <c r="F26">
        <v>50</v>
      </c>
      <c r="G26">
        <v>500</v>
      </c>
      <c r="H26">
        <v>481</v>
      </c>
      <c r="I26">
        <v>48.1</v>
      </c>
    </row>
    <row r="27" spans="1:9" x14ac:dyDescent="0.3">
      <c r="A27" t="s">
        <v>33</v>
      </c>
      <c r="B27" t="s">
        <v>68</v>
      </c>
      <c r="C27" t="s">
        <v>45</v>
      </c>
      <c r="D27">
        <v>5000</v>
      </c>
      <c r="E27">
        <v>10000</v>
      </c>
      <c r="F27">
        <v>1500</v>
      </c>
      <c r="G27">
        <v>840</v>
      </c>
      <c r="H27">
        <v>408</v>
      </c>
      <c r="I27">
        <v>40.800000000000004</v>
      </c>
    </row>
    <row r="28" spans="1:9" x14ac:dyDescent="0.3">
      <c r="A28" t="s">
        <v>34</v>
      </c>
      <c r="B28" t="s">
        <v>69</v>
      </c>
      <c r="C28" t="s">
        <v>40</v>
      </c>
      <c r="D28">
        <v>300</v>
      </c>
      <c r="E28">
        <v>800</v>
      </c>
      <c r="F28">
        <v>200</v>
      </c>
      <c r="G28">
        <v>555</v>
      </c>
      <c r="H28">
        <v>341</v>
      </c>
      <c r="I28">
        <v>34.1</v>
      </c>
    </row>
    <row r="29" spans="1:9" x14ac:dyDescent="0.3">
      <c r="A29" t="s">
        <v>35</v>
      </c>
      <c r="B29" t="s">
        <v>70</v>
      </c>
      <c r="C29" t="s">
        <v>42</v>
      </c>
      <c r="D29">
        <v>1000</v>
      </c>
      <c r="E29">
        <v>2500</v>
      </c>
      <c r="F29">
        <v>500</v>
      </c>
      <c r="G29">
        <v>632</v>
      </c>
      <c r="H29">
        <v>350</v>
      </c>
      <c r="I29">
        <v>35</v>
      </c>
    </row>
    <row r="30" spans="1:9" x14ac:dyDescent="0.3">
      <c r="A30" t="s">
        <v>36</v>
      </c>
      <c r="B30" t="s">
        <v>71</v>
      </c>
      <c r="C30" t="s">
        <v>45</v>
      </c>
      <c r="D30">
        <v>10000</v>
      </c>
      <c r="E30">
        <v>30000</v>
      </c>
      <c r="F30">
        <v>5000</v>
      </c>
      <c r="G30">
        <v>866</v>
      </c>
      <c r="H30">
        <v>491</v>
      </c>
      <c r="I30">
        <v>49.1</v>
      </c>
    </row>
    <row r="31" spans="1:9" x14ac:dyDescent="0.3">
      <c r="A31" t="s">
        <v>37</v>
      </c>
      <c r="B31" t="s">
        <v>72</v>
      </c>
      <c r="C31" t="s">
        <v>38</v>
      </c>
      <c r="D31">
        <v>200</v>
      </c>
      <c r="E31">
        <v>500</v>
      </c>
      <c r="F31">
        <v>100</v>
      </c>
      <c r="G31">
        <v>710</v>
      </c>
      <c r="H31">
        <v>413</v>
      </c>
      <c r="I31">
        <v>41.300000000000004</v>
      </c>
    </row>
    <row r="32" spans="1:9" x14ac:dyDescent="0.3">
      <c r="A32" t="s">
        <v>73</v>
      </c>
      <c r="B32" t="s">
        <v>74</v>
      </c>
      <c r="C32" t="s">
        <v>40</v>
      </c>
      <c r="D32">
        <v>400</v>
      </c>
      <c r="E32">
        <v>1200</v>
      </c>
      <c r="F32">
        <v>300</v>
      </c>
      <c r="G32">
        <v>655</v>
      </c>
      <c r="H32">
        <v>457</v>
      </c>
      <c r="I32">
        <v>45.7</v>
      </c>
    </row>
    <row r="33" spans="1:9" x14ac:dyDescent="0.3">
      <c r="A33" t="s">
        <v>75</v>
      </c>
      <c r="B33" t="s">
        <v>76</v>
      </c>
      <c r="C33" t="s">
        <v>45</v>
      </c>
      <c r="D33">
        <v>500</v>
      </c>
      <c r="E33">
        <v>1500</v>
      </c>
      <c r="F33">
        <v>300</v>
      </c>
      <c r="G33">
        <v>920</v>
      </c>
      <c r="H33">
        <v>324</v>
      </c>
      <c r="I33">
        <v>32.4</v>
      </c>
    </row>
    <row r="34" spans="1:9" x14ac:dyDescent="0.3">
      <c r="A34" t="s">
        <v>77</v>
      </c>
      <c r="B34" t="s">
        <v>78</v>
      </c>
      <c r="C34" t="s">
        <v>41</v>
      </c>
      <c r="D34">
        <v>20</v>
      </c>
      <c r="E34">
        <v>100</v>
      </c>
      <c r="F34">
        <v>20</v>
      </c>
      <c r="G34">
        <v>963</v>
      </c>
      <c r="H34">
        <v>390</v>
      </c>
      <c r="I34">
        <v>39</v>
      </c>
    </row>
    <row r="35" spans="1:9" x14ac:dyDescent="0.3">
      <c r="A35" t="s">
        <v>79</v>
      </c>
      <c r="B35" t="s">
        <v>80</v>
      </c>
      <c r="C35" t="s">
        <v>41</v>
      </c>
      <c r="D35">
        <v>10</v>
      </c>
      <c r="E35">
        <v>50</v>
      </c>
      <c r="F35">
        <v>10</v>
      </c>
      <c r="G35">
        <v>801</v>
      </c>
      <c r="H35">
        <v>243</v>
      </c>
      <c r="I35">
        <v>24.3</v>
      </c>
    </row>
    <row r="36" spans="1:9" x14ac:dyDescent="0.3">
      <c r="A36" t="s">
        <v>81</v>
      </c>
      <c r="B36" t="s">
        <v>82</v>
      </c>
      <c r="C36" t="s">
        <v>41</v>
      </c>
      <c r="D36">
        <v>50</v>
      </c>
      <c r="E36">
        <v>200</v>
      </c>
      <c r="F36">
        <v>40</v>
      </c>
      <c r="G36">
        <v>855</v>
      </c>
      <c r="H36">
        <v>484</v>
      </c>
      <c r="I36">
        <v>48.400000000000006</v>
      </c>
    </row>
    <row r="37" spans="1:9" x14ac:dyDescent="0.3">
      <c r="A37" t="s">
        <v>83</v>
      </c>
      <c r="B37" t="s">
        <v>84</v>
      </c>
      <c r="C37" t="s">
        <v>45</v>
      </c>
      <c r="D37">
        <v>150</v>
      </c>
      <c r="E37">
        <v>500</v>
      </c>
      <c r="F37">
        <v>100</v>
      </c>
      <c r="G37">
        <v>653</v>
      </c>
      <c r="H37">
        <v>287</v>
      </c>
      <c r="I37">
        <v>28.700000000000003</v>
      </c>
    </row>
    <row r="38" spans="1:9" x14ac:dyDescent="0.3">
      <c r="A38" t="s">
        <v>85</v>
      </c>
      <c r="B38" t="s">
        <v>86</v>
      </c>
      <c r="C38" t="s">
        <v>41</v>
      </c>
      <c r="D38">
        <v>1000</v>
      </c>
      <c r="E38">
        <v>5000</v>
      </c>
      <c r="F38">
        <v>1000</v>
      </c>
      <c r="G38">
        <v>808</v>
      </c>
      <c r="H38">
        <v>231</v>
      </c>
      <c r="I38">
        <v>23.1</v>
      </c>
    </row>
    <row r="39" spans="1:9" x14ac:dyDescent="0.3">
      <c r="A39" t="s">
        <v>87</v>
      </c>
      <c r="B39" t="s">
        <v>88</v>
      </c>
      <c r="C39" t="s">
        <v>42</v>
      </c>
      <c r="D39">
        <v>5000</v>
      </c>
      <c r="E39">
        <v>15000</v>
      </c>
      <c r="F39">
        <v>2000</v>
      </c>
      <c r="G39">
        <v>706</v>
      </c>
      <c r="H39">
        <v>329</v>
      </c>
      <c r="I39">
        <v>32.9</v>
      </c>
    </row>
    <row r="40" spans="1:9" x14ac:dyDescent="0.3">
      <c r="A40" t="s">
        <v>89</v>
      </c>
      <c r="B40" t="s">
        <v>90</v>
      </c>
      <c r="C40" t="s">
        <v>40</v>
      </c>
      <c r="D40">
        <v>400</v>
      </c>
      <c r="E40">
        <v>1000</v>
      </c>
      <c r="F40">
        <v>300</v>
      </c>
      <c r="G40">
        <v>923</v>
      </c>
      <c r="H40">
        <v>303</v>
      </c>
      <c r="I40">
        <v>30.3</v>
      </c>
    </row>
    <row r="41" spans="1:9" x14ac:dyDescent="0.3">
      <c r="A41" t="s">
        <v>91</v>
      </c>
      <c r="B41" t="s">
        <v>92</v>
      </c>
      <c r="C41" t="s">
        <v>45</v>
      </c>
      <c r="D41">
        <v>800</v>
      </c>
      <c r="E41">
        <v>2000</v>
      </c>
      <c r="F41">
        <v>500</v>
      </c>
      <c r="G41">
        <v>979</v>
      </c>
      <c r="H41">
        <v>477</v>
      </c>
      <c r="I41">
        <v>47.7</v>
      </c>
    </row>
    <row r="42" spans="1:9" x14ac:dyDescent="0.3">
      <c r="A42" t="s">
        <v>93</v>
      </c>
      <c r="B42" t="s">
        <v>94</v>
      </c>
      <c r="C42" t="s">
        <v>41</v>
      </c>
      <c r="D42">
        <v>5</v>
      </c>
      <c r="E42">
        <v>20</v>
      </c>
      <c r="F42">
        <v>5</v>
      </c>
      <c r="G42">
        <v>972</v>
      </c>
      <c r="H42">
        <v>428</v>
      </c>
      <c r="I42">
        <v>42.800000000000004</v>
      </c>
    </row>
    <row r="43" spans="1:9" x14ac:dyDescent="0.3">
      <c r="A43" t="s">
        <v>95</v>
      </c>
      <c r="B43" t="s">
        <v>96</v>
      </c>
      <c r="C43" t="s">
        <v>41</v>
      </c>
      <c r="D43">
        <v>200</v>
      </c>
      <c r="E43">
        <v>600</v>
      </c>
      <c r="F43">
        <v>100</v>
      </c>
      <c r="G43">
        <v>736</v>
      </c>
      <c r="H43">
        <v>463</v>
      </c>
      <c r="I43">
        <v>46.300000000000004</v>
      </c>
    </row>
    <row r="44" spans="1:9" x14ac:dyDescent="0.3">
      <c r="A44" t="s">
        <v>97</v>
      </c>
      <c r="B44" t="s">
        <v>98</v>
      </c>
      <c r="C44" t="s">
        <v>41</v>
      </c>
      <c r="D44">
        <v>8</v>
      </c>
      <c r="E44">
        <v>30</v>
      </c>
      <c r="F44">
        <v>10</v>
      </c>
      <c r="G44">
        <v>835</v>
      </c>
      <c r="H44">
        <v>406</v>
      </c>
      <c r="I44">
        <v>40.6</v>
      </c>
    </row>
    <row r="45" spans="1:9" x14ac:dyDescent="0.3">
      <c r="A45" t="s">
        <v>99</v>
      </c>
      <c r="B45" t="s">
        <v>100</v>
      </c>
      <c r="C45" t="s">
        <v>41</v>
      </c>
      <c r="D45">
        <v>15</v>
      </c>
      <c r="E45">
        <v>60</v>
      </c>
      <c r="F45">
        <v>15</v>
      </c>
      <c r="G45">
        <v>857</v>
      </c>
      <c r="H45">
        <v>441</v>
      </c>
      <c r="I45">
        <v>44.1</v>
      </c>
    </row>
    <row r="46" spans="1:9" x14ac:dyDescent="0.3">
      <c r="A46" t="s">
        <v>101</v>
      </c>
      <c r="B46" t="s">
        <v>102</v>
      </c>
      <c r="C46" t="s">
        <v>38</v>
      </c>
      <c r="D46">
        <v>100</v>
      </c>
      <c r="E46">
        <v>300</v>
      </c>
      <c r="F46">
        <v>80</v>
      </c>
      <c r="G46">
        <v>980</v>
      </c>
      <c r="H46">
        <v>465</v>
      </c>
      <c r="I46">
        <v>46.5</v>
      </c>
    </row>
    <row r="47" spans="1:9" x14ac:dyDescent="0.3">
      <c r="A47" t="s">
        <v>103</v>
      </c>
      <c r="B47" t="s">
        <v>104</v>
      </c>
      <c r="C47" t="s">
        <v>45</v>
      </c>
      <c r="D47">
        <v>300</v>
      </c>
      <c r="E47">
        <v>800</v>
      </c>
      <c r="F47">
        <v>200</v>
      </c>
      <c r="G47">
        <v>589</v>
      </c>
      <c r="H47">
        <v>414</v>
      </c>
      <c r="I47">
        <v>41.400000000000006</v>
      </c>
    </row>
    <row r="48" spans="1:9" x14ac:dyDescent="0.3">
      <c r="A48" t="s">
        <v>105</v>
      </c>
      <c r="B48" t="s">
        <v>106</v>
      </c>
      <c r="C48" t="s">
        <v>41</v>
      </c>
      <c r="D48">
        <v>50</v>
      </c>
      <c r="E48">
        <v>150</v>
      </c>
      <c r="F48">
        <v>30</v>
      </c>
      <c r="G48">
        <v>946</v>
      </c>
      <c r="H48">
        <v>350</v>
      </c>
      <c r="I48">
        <v>35</v>
      </c>
    </row>
    <row r="49" spans="1:9" x14ac:dyDescent="0.3">
      <c r="A49" t="s">
        <v>107</v>
      </c>
      <c r="B49" t="s">
        <v>108</v>
      </c>
      <c r="C49" t="s">
        <v>41</v>
      </c>
      <c r="D49">
        <v>40</v>
      </c>
      <c r="E49">
        <v>120</v>
      </c>
      <c r="F49">
        <v>30</v>
      </c>
      <c r="G49">
        <v>949</v>
      </c>
      <c r="H49">
        <v>362</v>
      </c>
      <c r="I49">
        <v>36.200000000000003</v>
      </c>
    </row>
    <row r="50" spans="1:9" x14ac:dyDescent="0.3">
      <c r="A50" t="s">
        <v>109</v>
      </c>
      <c r="B50" t="s">
        <v>110</v>
      </c>
      <c r="C50" t="s">
        <v>41</v>
      </c>
      <c r="D50">
        <v>10</v>
      </c>
      <c r="E50">
        <v>40</v>
      </c>
      <c r="F50">
        <v>10</v>
      </c>
      <c r="G50">
        <v>839</v>
      </c>
      <c r="H50">
        <v>308</v>
      </c>
      <c r="I50">
        <v>30.8</v>
      </c>
    </row>
    <row r="51" spans="1:9" x14ac:dyDescent="0.3">
      <c r="A51" t="s">
        <v>111</v>
      </c>
      <c r="B51" t="s">
        <v>214</v>
      </c>
      <c r="C51" t="s">
        <v>41</v>
      </c>
      <c r="D51">
        <v>5</v>
      </c>
      <c r="E51">
        <v>25</v>
      </c>
      <c r="F51">
        <v>5</v>
      </c>
      <c r="G51">
        <v>909</v>
      </c>
      <c r="H51">
        <v>333</v>
      </c>
      <c r="I51">
        <v>33.300000000000004</v>
      </c>
    </row>
    <row r="52" spans="1:9" x14ac:dyDescent="0.3">
      <c r="A52" t="s">
        <v>113</v>
      </c>
      <c r="B52" t="s">
        <v>114</v>
      </c>
      <c r="C52" t="s">
        <v>38</v>
      </c>
      <c r="D52">
        <v>120</v>
      </c>
      <c r="E52">
        <v>450</v>
      </c>
      <c r="F52">
        <v>100</v>
      </c>
      <c r="G52">
        <v>680</v>
      </c>
      <c r="H52">
        <v>470</v>
      </c>
      <c r="I52">
        <v>47</v>
      </c>
    </row>
    <row r="53" spans="1:9" x14ac:dyDescent="0.3">
      <c r="A53" t="s">
        <v>115</v>
      </c>
      <c r="B53" t="s">
        <v>116</v>
      </c>
      <c r="C53" t="s">
        <v>38</v>
      </c>
      <c r="D53">
        <v>200</v>
      </c>
      <c r="E53">
        <v>600</v>
      </c>
      <c r="F53">
        <v>150</v>
      </c>
      <c r="G53">
        <v>508</v>
      </c>
      <c r="H53">
        <v>333</v>
      </c>
      <c r="I53">
        <v>33.300000000000004</v>
      </c>
    </row>
    <row r="54" spans="1:9" x14ac:dyDescent="0.3">
      <c r="A54" t="s">
        <v>117</v>
      </c>
      <c r="B54" t="s">
        <v>118</v>
      </c>
      <c r="C54" t="s">
        <v>40</v>
      </c>
      <c r="D54">
        <v>500</v>
      </c>
      <c r="E54">
        <v>1500</v>
      </c>
      <c r="F54">
        <v>400</v>
      </c>
      <c r="G54">
        <v>554</v>
      </c>
      <c r="H54">
        <v>478</v>
      </c>
      <c r="I54">
        <v>47.800000000000004</v>
      </c>
    </row>
    <row r="55" spans="1:9" x14ac:dyDescent="0.3">
      <c r="A55" t="s">
        <v>119</v>
      </c>
      <c r="B55" t="s">
        <v>120</v>
      </c>
      <c r="C55" t="s">
        <v>45</v>
      </c>
      <c r="D55">
        <v>1000</v>
      </c>
      <c r="E55">
        <v>2500</v>
      </c>
      <c r="F55">
        <v>800</v>
      </c>
      <c r="G55">
        <v>574</v>
      </c>
      <c r="H55">
        <v>479</v>
      </c>
      <c r="I55">
        <v>47.900000000000006</v>
      </c>
    </row>
    <row r="56" spans="1:9" x14ac:dyDescent="0.3">
      <c r="A56" t="s">
        <v>121</v>
      </c>
      <c r="B56" t="s">
        <v>122</v>
      </c>
      <c r="C56" t="s">
        <v>45</v>
      </c>
      <c r="D56">
        <v>400</v>
      </c>
      <c r="E56">
        <v>1000</v>
      </c>
      <c r="F56">
        <v>200</v>
      </c>
      <c r="G56">
        <v>892</v>
      </c>
      <c r="H56">
        <v>362</v>
      </c>
      <c r="I56">
        <v>36.200000000000003</v>
      </c>
    </row>
    <row r="57" spans="1:9" x14ac:dyDescent="0.3">
      <c r="A57" t="s">
        <v>123</v>
      </c>
      <c r="B57" t="s">
        <v>124</v>
      </c>
      <c r="C57" t="s">
        <v>41</v>
      </c>
      <c r="D57">
        <v>2</v>
      </c>
      <c r="E57">
        <v>10</v>
      </c>
      <c r="F57">
        <v>3</v>
      </c>
      <c r="G57">
        <v>778</v>
      </c>
      <c r="H57">
        <v>221</v>
      </c>
      <c r="I57">
        <v>22.1</v>
      </c>
    </row>
    <row r="58" spans="1:9" x14ac:dyDescent="0.3">
      <c r="A58" t="s">
        <v>125</v>
      </c>
      <c r="B58" t="s">
        <v>126</v>
      </c>
      <c r="C58" t="s">
        <v>41</v>
      </c>
      <c r="D58">
        <v>20</v>
      </c>
      <c r="E58">
        <v>80</v>
      </c>
      <c r="F58">
        <v>20</v>
      </c>
      <c r="G58">
        <v>953</v>
      </c>
      <c r="H58">
        <v>217</v>
      </c>
      <c r="I58">
        <v>21.700000000000003</v>
      </c>
    </row>
    <row r="59" spans="1:9" x14ac:dyDescent="0.3">
      <c r="A59" t="s">
        <v>127</v>
      </c>
      <c r="B59" t="s">
        <v>128</v>
      </c>
      <c r="C59" t="s">
        <v>40</v>
      </c>
      <c r="D59">
        <v>2000</v>
      </c>
      <c r="E59">
        <v>5000</v>
      </c>
      <c r="F59">
        <v>1000</v>
      </c>
      <c r="G59">
        <v>680</v>
      </c>
      <c r="H59">
        <v>379</v>
      </c>
      <c r="I59">
        <v>37.9</v>
      </c>
    </row>
    <row r="60" spans="1:9" x14ac:dyDescent="0.3">
      <c r="A60" t="s">
        <v>129</v>
      </c>
      <c r="B60" t="s">
        <v>130</v>
      </c>
      <c r="C60" t="s">
        <v>41</v>
      </c>
      <c r="D60">
        <v>5000</v>
      </c>
      <c r="E60">
        <v>15000</v>
      </c>
      <c r="F60">
        <v>3000</v>
      </c>
      <c r="G60">
        <v>737</v>
      </c>
      <c r="H60">
        <v>445</v>
      </c>
      <c r="I60">
        <v>44.5</v>
      </c>
    </row>
    <row r="61" spans="1:9" x14ac:dyDescent="0.3">
      <c r="A61" t="s">
        <v>131</v>
      </c>
      <c r="B61" t="s">
        <v>132</v>
      </c>
      <c r="C61" t="s">
        <v>42</v>
      </c>
      <c r="D61">
        <v>50</v>
      </c>
      <c r="E61">
        <v>200</v>
      </c>
      <c r="F61">
        <v>40</v>
      </c>
      <c r="G61">
        <v>671</v>
      </c>
      <c r="H61">
        <v>333</v>
      </c>
      <c r="I61">
        <v>33.300000000000004</v>
      </c>
    </row>
    <row r="62" spans="1:9" x14ac:dyDescent="0.3">
      <c r="A62" t="s">
        <v>133</v>
      </c>
      <c r="B62" t="s">
        <v>134</v>
      </c>
      <c r="C62" t="s">
        <v>38</v>
      </c>
      <c r="D62">
        <v>180</v>
      </c>
      <c r="E62">
        <v>500</v>
      </c>
      <c r="F62">
        <v>120</v>
      </c>
      <c r="G62">
        <v>959</v>
      </c>
      <c r="H62">
        <v>241</v>
      </c>
      <c r="I62">
        <v>24.1</v>
      </c>
    </row>
    <row r="63" spans="1:9" x14ac:dyDescent="0.3">
      <c r="A63" t="s">
        <v>135</v>
      </c>
      <c r="B63" t="s">
        <v>136</v>
      </c>
      <c r="C63" t="s">
        <v>38</v>
      </c>
      <c r="D63">
        <v>250</v>
      </c>
      <c r="E63">
        <v>700</v>
      </c>
      <c r="F63">
        <v>200</v>
      </c>
      <c r="G63">
        <v>792</v>
      </c>
      <c r="H63">
        <v>426</v>
      </c>
      <c r="I63">
        <v>42.6</v>
      </c>
    </row>
    <row r="64" spans="1:9" x14ac:dyDescent="0.3">
      <c r="A64" t="s">
        <v>137</v>
      </c>
      <c r="B64" t="s">
        <v>138</v>
      </c>
      <c r="C64" t="s">
        <v>38</v>
      </c>
      <c r="D64">
        <v>50</v>
      </c>
      <c r="E64">
        <v>150</v>
      </c>
      <c r="F64">
        <v>40</v>
      </c>
      <c r="G64">
        <v>818</v>
      </c>
      <c r="H64">
        <v>490</v>
      </c>
      <c r="I64">
        <v>49</v>
      </c>
    </row>
    <row r="65" spans="1:9" x14ac:dyDescent="0.3">
      <c r="A65" t="s">
        <v>139</v>
      </c>
      <c r="B65" t="s">
        <v>140</v>
      </c>
      <c r="C65" t="s">
        <v>40</v>
      </c>
      <c r="D65">
        <v>400</v>
      </c>
      <c r="E65">
        <v>1200</v>
      </c>
      <c r="F65">
        <v>300</v>
      </c>
      <c r="G65">
        <v>996</v>
      </c>
      <c r="H65">
        <v>323</v>
      </c>
      <c r="I65">
        <v>32.300000000000004</v>
      </c>
    </row>
    <row r="66" spans="1:9" x14ac:dyDescent="0.3">
      <c r="A66" t="s">
        <v>141</v>
      </c>
      <c r="B66" t="s">
        <v>142</v>
      </c>
      <c r="C66" t="s">
        <v>45</v>
      </c>
      <c r="D66">
        <v>100</v>
      </c>
      <c r="E66">
        <v>400</v>
      </c>
      <c r="F66">
        <v>80</v>
      </c>
      <c r="G66">
        <v>566</v>
      </c>
      <c r="H66">
        <v>311</v>
      </c>
      <c r="I66">
        <v>31.1</v>
      </c>
    </row>
    <row r="67" spans="1:9" x14ac:dyDescent="0.3">
      <c r="A67" t="s">
        <v>143</v>
      </c>
      <c r="B67" t="s">
        <v>144</v>
      </c>
      <c r="C67" t="s">
        <v>40</v>
      </c>
      <c r="D67">
        <v>2000</v>
      </c>
      <c r="E67">
        <v>6000</v>
      </c>
      <c r="F67">
        <v>1000</v>
      </c>
      <c r="G67">
        <v>615</v>
      </c>
      <c r="H67">
        <v>325</v>
      </c>
      <c r="I67">
        <v>32.5</v>
      </c>
    </row>
    <row r="68" spans="1:9" x14ac:dyDescent="0.3">
      <c r="A68" t="s">
        <v>145</v>
      </c>
      <c r="B68" t="s">
        <v>146</v>
      </c>
      <c r="C68" t="s">
        <v>45</v>
      </c>
      <c r="D68">
        <v>800</v>
      </c>
      <c r="E68">
        <v>2500</v>
      </c>
      <c r="F68">
        <v>500</v>
      </c>
      <c r="G68">
        <v>830</v>
      </c>
      <c r="H68">
        <v>376</v>
      </c>
      <c r="I68">
        <v>37.6</v>
      </c>
    </row>
    <row r="69" spans="1:9" x14ac:dyDescent="0.3">
      <c r="A69" t="s">
        <v>147</v>
      </c>
      <c r="B69" t="s">
        <v>148</v>
      </c>
      <c r="C69" t="s">
        <v>45</v>
      </c>
      <c r="D69">
        <v>300</v>
      </c>
      <c r="E69">
        <v>900</v>
      </c>
      <c r="F69">
        <v>200</v>
      </c>
      <c r="G69">
        <v>657</v>
      </c>
      <c r="H69">
        <v>207</v>
      </c>
      <c r="I69">
        <v>20.700000000000003</v>
      </c>
    </row>
    <row r="70" spans="1:9" x14ac:dyDescent="0.3">
      <c r="A70" t="s">
        <v>149</v>
      </c>
      <c r="B70" t="s">
        <v>150</v>
      </c>
      <c r="C70" t="s">
        <v>41</v>
      </c>
      <c r="D70">
        <v>30</v>
      </c>
      <c r="E70">
        <v>120</v>
      </c>
      <c r="F70">
        <v>25</v>
      </c>
      <c r="G70">
        <v>586</v>
      </c>
      <c r="H70">
        <v>285</v>
      </c>
      <c r="I70">
        <v>28.5</v>
      </c>
    </row>
    <row r="71" spans="1:9" x14ac:dyDescent="0.3">
      <c r="A71" t="s">
        <v>151</v>
      </c>
      <c r="B71" t="s">
        <v>152</v>
      </c>
      <c r="C71" t="s">
        <v>41</v>
      </c>
      <c r="D71">
        <v>15</v>
      </c>
      <c r="E71">
        <v>60</v>
      </c>
      <c r="F71">
        <v>15</v>
      </c>
      <c r="G71">
        <v>768</v>
      </c>
      <c r="H71">
        <v>442</v>
      </c>
      <c r="I71">
        <v>44.2</v>
      </c>
    </row>
    <row r="72" spans="1:9" x14ac:dyDescent="0.3">
      <c r="A72" t="s">
        <v>153</v>
      </c>
      <c r="B72" t="s">
        <v>154</v>
      </c>
      <c r="C72" t="s">
        <v>41</v>
      </c>
      <c r="D72">
        <v>10</v>
      </c>
      <c r="E72">
        <v>45</v>
      </c>
      <c r="F72">
        <v>10</v>
      </c>
      <c r="G72">
        <v>963</v>
      </c>
      <c r="H72">
        <v>303</v>
      </c>
      <c r="I72">
        <v>30.3</v>
      </c>
    </row>
    <row r="73" spans="1:9" x14ac:dyDescent="0.3">
      <c r="A73" t="s">
        <v>155</v>
      </c>
      <c r="B73" t="s">
        <v>156</v>
      </c>
      <c r="C73" t="s">
        <v>41</v>
      </c>
      <c r="D73">
        <v>40</v>
      </c>
      <c r="E73">
        <v>150</v>
      </c>
      <c r="F73">
        <v>30</v>
      </c>
      <c r="G73">
        <v>791</v>
      </c>
      <c r="H73">
        <v>338</v>
      </c>
      <c r="I73">
        <v>33.800000000000004</v>
      </c>
    </row>
    <row r="74" spans="1:9" x14ac:dyDescent="0.3">
      <c r="A74" t="s">
        <v>157</v>
      </c>
      <c r="B74" t="s">
        <v>158</v>
      </c>
      <c r="C74" t="s">
        <v>41</v>
      </c>
      <c r="D74">
        <v>20</v>
      </c>
      <c r="E74">
        <v>100</v>
      </c>
      <c r="F74">
        <v>25</v>
      </c>
      <c r="G74">
        <v>817</v>
      </c>
      <c r="H74">
        <v>341</v>
      </c>
      <c r="I74">
        <v>34.1</v>
      </c>
    </row>
    <row r="75" spans="1:9" x14ac:dyDescent="0.3">
      <c r="A75" t="s">
        <v>159</v>
      </c>
      <c r="B75" t="s">
        <v>160</v>
      </c>
      <c r="C75" t="s">
        <v>41</v>
      </c>
      <c r="D75">
        <v>100</v>
      </c>
      <c r="E75">
        <v>500</v>
      </c>
      <c r="F75">
        <v>100</v>
      </c>
      <c r="G75">
        <v>976</v>
      </c>
      <c r="H75">
        <v>451</v>
      </c>
      <c r="I75">
        <v>45.1</v>
      </c>
    </row>
    <row r="76" spans="1:9" x14ac:dyDescent="0.3">
      <c r="A76" t="s">
        <v>161</v>
      </c>
      <c r="B76" t="s">
        <v>162</v>
      </c>
      <c r="C76" t="s">
        <v>41</v>
      </c>
      <c r="D76">
        <v>5</v>
      </c>
      <c r="E76">
        <v>20</v>
      </c>
      <c r="F76">
        <v>5</v>
      </c>
      <c r="G76">
        <v>989</v>
      </c>
      <c r="H76">
        <v>407</v>
      </c>
      <c r="I76">
        <v>40.700000000000003</v>
      </c>
    </row>
    <row r="77" spans="1:9" x14ac:dyDescent="0.3">
      <c r="A77" t="s">
        <v>163</v>
      </c>
      <c r="B77" t="s">
        <v>164</v>
      </c>
      <c r="C77" t="s">
        <v>41</v>
      </c>
      <c r="D77">
        <v>12</v>
      </c>
      <c r="E77">
        <v>50</v>
      </c>
      <c r="F77">
        <v>10</v>
      </c>
      <c r="G77">
        <v>979</v>
      </c>
      <c r="H77">
        <v>408</v>
      </c>
      <c r="I77">
        <v>40.800000000000004</v>
      </c>
    </row>
    <row r="78" spans="1:9" x14ac:dyDescent="0.3">
      <c r="A78" t="s">
        <v>165</v>
      </c>
      <c r="B78" t="s">
        <v>166</v>
      </c>
      <c r="C78" t="s">
        <v>41</v>
      </c>
      <c r="D78">
        <v>6</v>
      </c>
      <c r="E78">
        <v>25</v>
      </c>
      <c r="F78">
        <v>8</v>
      </c>
      <c r="G78">
        <v>564</v>
      </c>
      <c r="H78">
        <v>443</v>
      </c>
      <c r="I78">
        <v>44.300000000000004</v>
      </c>
    </row>
    <row r="79" spans="1:9" x14ac:dyDescent="0.3">
      <c r="A79" t="s">
        <v>167</v>
      </c>
      <c r="B79" t="s">
        <v>168</v>
      </c>
      <c r="C79" t="s">
        <v>41</v>
      </c>
      <c r="D79">
        <v>100</v>
      </c>
      <c r="E79">
        <v>400</v>
      </c>
      <c r="F79">
        <v>80</v>
      </c>
      <c r="G79">
        <v>740</v>
      </c>
      <c r="H79">
        <v>440</v>
      </c>
      <c r="I79">
        <v>44</v>
      </c>
    </row>
    <row r="80" spans="1:9" x14ac:dyDescent="0.3">
      <c r="A80" t="s">
        <v>169</v>
      </c>
      <c r="B80" t="s">
        <v>170</v>
      </c>
      <c r="C80" t="s">
        <v>41</v>
      </c>
      <c r="D80">
        <v>50</v>
      </c>
      <c r="E80">
        <v>200</v>
      </c>
      <c r="F80">
        <v>40</v>
      </c>
      <c r="G80">
        <v>967</v>
      </c>
      <c r="H80">
        <v>287</v>
      </c>
      <c r="I80">
        <v>28.700000000000003</v>
      </c>
    </row>
    <row r="81" spans="1:9" x14ac:dyDescent="0.3">
      <c r="A81" t="s">
        <v>171</v>
      </c>
      <c r="B81" t="s">
        <v>172</v>
      </c>
      <c r="C81" t="s">
        <v>41</v>
      </c>
      <c r="D81">
        <v>8</v>
      </c>
      <c r="E81">
        <v>30</v>
      </c>
      <c r="F81">
        <v>5</v>
      </c>
      <c r="G81">
        <v>608</v>
      </c>
      <c r="H81">
        <v>369</v>
      </c>
      <c r="I81">
        <v>36.9</v>
      </c>
    </row>
    <row r="82" spans="1:9" x14ac:dyDescent="0.3">
      <c r="A82" t="s">
        <v>173</v>
      </c>
      <c r="B82" t="s">
        <v>174</v>
      </c>
      <c r="C82" t="s">
        <v>38</v>
      </c>
      <c r="D82">
        <v>60</v>
      </c>
      <c r="E82">
        <v>200</v>
      </c>
      <c r="F82">
        <v>40</v>
      </c>
      <c r="G82">
        <v>723</v>
      </c>
      <c r="H82">
        <v>465</v>
      </c>
      <c r="I82">
        <v>46.5</v>
      </c>
    </row>
    <row r="83" spans="1:9" x14ac:dyDescent="0.3">
      <c r="A83" t="s">
        <v>175</v>
      </c>
      <c r="B83" t="s">
        <v>176</v>
      </c>
      <c r="C83" t="s">
        <v>38</v>
      </c>
      <c r="D83">
        <v>90</v>
      </c>
      <c r="E83">
        <v>300</v>
      </c>
      <c r="F83">
        <v>60</v>
      </c>
      <c r="G83">
        <v>518</v>
      </c>
      <c r="H83">
        <v>452</v>
      </c>
      <c r="I83">
        <v>45.2</v>
      </c>
    </row>
    <row r="84" spans="1:9" x14ac:dyDescent="0.3">
      <c r="A84" t="s">
        <v>177</v>
      </c>
      <c r="B84" t="s">
        <v>178</v>
      </c>
      <c r="C84" t="s">
        <v>38</v>
      </c>
      <c r="D84">
        <v>150</v>
      </c>
      <c r="E84">
        <v>450</v>
      </c>
      <c r="F84">
        <v>100</v>
      </c>
      <c r="G84">
        <v>574</v>
      </c>
      <c r="H84">
        <v>421</v>
      </c>
      <c r="I84">
        <v>42.1</v>
      </c>
    </row>
    <row r="85" spans="1:9" x14ac:dyDescent="0.3">
      <c r="A85" t="s">
        <v>179</v>
      </c>
      <c r="B85" t="s">
        <v>180</v>
      </c>
      <c r="C85" t="s">
        <v>38</v>
      </c>
      <c r="D85">
        <v>80</v>
      </c>
      <c r="E85">
        <v>300</v>
      </c>
      <c r="F85">
        <v>50</v>
      </c>
      <c r="G85">
        <v>960</v>
      </c>
      <c r="H85">
        <v>334</v>
      </c>
      <c r="I85">
        <v>33.4</v>
      </c>
    </row>
    <row r="86" spans="1:9" x14ac:dyDescent="0.3">
      <c r="A86" t="s">
        <v>181</v>
      </c>
      <c r="B86" t="s">
        <v>182</v>
      </c>
      <c r="C86" t="s">
        <v>38</v>
      </c>
      <c r="D86">
        <v>40</v>
      </c>
      <c r="E86">
        <v>150</v>
      </c>
      <c r="F86">
        <v>30</v>
      </c>
      <c r="G86">
        <v>632</v>
      </c>
      <c r="H86">
        <v>324</v>
      </c>
      <c r="I86">
        <v>32.4</v>
      </c>
    </row>
    <row r="87" spans="1:9" x14ac:dyDescent="0.3">
      <c r="A87" t="s">
        <v>183</v>
      </c>
      <c r="B87" t="s">
        <v>184</v>
      </c>
      <c r="C87" t="s">
        <v>41</v>
      </c>
      <c r="D87">
        <v>30</v>
      </c>
      <c r="E87">
        <v>120</v>
      </c>
      <c r="F87">
        <v>25</v>
      </c>
      <c r="G87">
        <v>737</v>
      </c>
      <c r="H87">
        <v>293</v>
      </c>
      <c r="I87">
        <v>29.3</v>
      </c>
    </row>
    <row r="88" spans="1:9" x14ac:dyDescent="0.3">
      <c r="A88" t="s">
        <v>185</v>
      </c>
      <c r="B88" t="s">
        <v>186</v>
      </c>
      <c r="C88" t="s">
        <v>41</v>
      </c>
      <c r="D88">
        <v>25</v>
      </c>
      <c r="E88">
        <v>100</v>
      </c>
      <c r="F88">
        <v>20</v>
      </c>
      <c r="G88">
        <v>698</v>
      </c>
      <c r="H88">
        <v>338</v>
      </c>
      <c r="I88">
        <v>33.800000000000004</v>
      </c>
    </row>
    <row r="89" spans="1:9" x14ac:dyDescent="0.3">
      <c r="A89" t="s">
        <v>187</v>
      </c>
      <c r="B89" t="s">
        <v>188</v>
      </c>
      <c r="C89" t="s">
        <v>41</v>
      </c>
      <c r="D89">
        <v>50</v>
      </c>
      <c r="E89">
        <v>200</v>
      </c>
      <c r="F89">
        <v>40</v>
      </c>
      <c r="G89">
        <v>699</v>
      </c>
      <c r="H89">
        <v>438</v>
      </c>
      <c r="I89">
        <v>43.800000000000004</v>
      </c>
    </row>
    <row r="90" spans="1:9" x14ac:dyDescent="0.3">
      <c r="A90" t="s">
        <v>189</v>
      </c>
      <c r="B90" t="s">
        <v>190</v>
      </c>
      <c r="C90" t="s">
        <v>40</v>
      </c>
      <c r="D90">
        <v>200</v>
      </c>
      <c r="E90">
        <v>600</v>
      </c>
      <c r="F90">
        <v>150</v>
      </c>
      <c r="G90">
        <v>818</v>
      </c>
      <c r="H90">
        <v>288</v>
      </c>
      <c r="I90">
        <v>28.8</v>
      </c>
    </row>
    <row r="91" spans="1:9" x14ac:dyDescent="0.3">
      <c r="A91" t="s">
        <v>191</v>
      </c>
      <c r="B91" t="s">
        <v>192</v>
      </c>
      <c r="C91" t="s">
        <v>40</v>
      </c>
      <c r="D91">
        <v>120</v>
      </c>
      <c r="E91">
        <v>400</v>
      </c>
      <c r="F91">
        <v>80</v>
      </c>
      <c r="G91">
        <v>985</v>
      </c>
      <c r="H91">
        <v>456</v>
      </c>
      <c r="I91">
        <v>45.6</v>
      </c>
    </row>
    <row r="92" spans="1:9" x14ac:dyDescent="0.3">
      <c r="A92" t="s">
        <v>193</v>
      </c>
      <c r="B92" t="s">
        <v>194</v>
      </c>
      <c r="C92" t="s">
        <v>45</v>
      </c>
      <c r="D92">
        <v>500</v>
      </c>
      <c r="E92">
        <v>2000</v>
      </c>
      <c r="F92">
        <v>400</v>
      </c>
      <c r="G92">
        <v>817</v>
      </c>
      <c r="H92">
        <v>218</v>
      </c>
      <c r="I92">
        <v>21.8</v>
      </c>
    </row>
    <row r="93" spans="1:9" x14ac:dyDescent="0.3">
      <c r="A93" t="s">
        <v>195</v>
      </c>
      <c r="B93" t="s">
        <v>196</v>
      </c>
      <c r="C93" t="s">
        <v>45</v>
      </c>
      <c r="D93">
        <v>5000</v>
      </c>
      <c r="E93">
        <v>20000</v>
      </c>
      <c r="F93">
        <v>3000</v>
      </c>
      <c r="G93">
        <v>856</v>
      </c>
      <c r="H93">
        <v>365</v>
      </c>
      <c r="I93">
        <v>36.5</v>
      </c>
    </row>
    <row r="94" spans="1:9" x14ac:dyDescent="0.3">
      <c r="A94" t="s">
        <v>197</v>
      </c>
      <c r="B94" t="s">
        <v>198</v>
      </c>
      <c r="C94" t="s">
        <v>45</v>
      </c>
      <c r="D94">
        <v>40</v>
      </c>
      <c r="E94">
        <v>150</v>
      </c>
      <c r="F94">
        <v>30</v>
      </c>
      <c r="G94">
        <v>810</v>
      </c>
      <c r="H94">
        <v>308</v>
      </c>
      <c r="I94">
        <v>30.8</v>
      </c>
    </row>
    <row r="95" spans="1:9" x14ac:dyDescent="0.3">
      <c r="A95" t="s">
        <v>199</v>
      </c>
      <c r="B95" t="s">
        <v>200</v>
      </c>
      <c r="C95" t="s">
        <v>38</v>
      </c>
      <c r="D95">
        <v>20</v>
      </c>
      <c r="E95">
        <v>100</v>
      </c>
      <c r="F95">
        <v>15</v>
      </c>
      <c r="G95">
        <v>503</v>
      </c>
      <c r="H95">
        <v>421</v>
      </c>
      <c r="I95">
        <v>42.1</v>
      </c>
    </row>
    <row r="96" spans="1:9" x14ac:dyDescent="0.3">
      <c r="A96" t="s">
        <v>201</v>
      </c>
      <c r="B96" t="s">
        <v>202</v>
      </c>
      <c r="C96" t="s">
        <v>40</v>
      </c>
      <c r="D96">
        <v>150</v>
      </c>
      <c r="E96">
        <v>500</v>
      </c>
      <c r="F96">
        <v>100</v>
      </c>
      <c r="G96">
        <v>913</v>
      </c>
      <c r="H96">
        <v>362</v>
      </c>
      <c r="I96">
        <v>36.200000000000003</v>
      </c>
    </row>
    <row r="97" spans="1:9" x14ac:dyDescent="0.3">
      <c r="A97" t="s">
        <v>203</v>
      </c>
      <c r="B97" t="s">
        <v>204</v>
      </c>
      <c r="C97" t="s">
        <v>41</v>
      </c>
      <c r="D97">
        <v>10</v>
      </c>
      <c r="E97">
        <v>40</v>
      </c>
      <c r="F97">
        <v>10</v>
      </c>
      <c r="G97">
        <v>988</v>
      </c>
      <c r="H97">
        <v>349</v>
      </c>
      <c r="I97">
        <v>34.9</v>
      </c>
    </row>
    <row r="98" spans="1:9" x14ac:dyDescent="0.3">
      <c r="A98" t="s">
        <v>205</v>
      </c>
      <c r="B98" t="s">
        <v>206</v>
      </c>
      <c r="C98" t="s">
        <v>41</v>
      </c>
      <c r="D98">
        <v>4</v>
      </c>
      <c r="E98">
        <v>15</v>
      </c>
      <c r="F98">
        <v>5</v>
      </c>
      <c r="G98">
        <v>617</v>
      </c>
      <c r="H98">
        <v>306</v>
      </c>
      <c r="I98">
        <v>30.6</v>
      </c>
    </row>
    <row r="99" spans="1:9" x14ac:dyDescent="0.3">
      <c r="A99" t="s">
        <v>207</v>
      </c>
      <c r="B99" t="s">
        <v>208</v>
      </c>
      <c r="C99" t="s">
        <v>41</v>
      </c>
      <c r="D99">
        <v>6</v>
      </c>
      <c r="E99">
        <v>25</v>
      </c>
      <c r="F99">
        <v>6</v>
      </c>
      <c r="G99">
        <v>507</v>
      </c>
      <c r="H99">
        <v>459</v>
      </c>
      <c r="I99">
        <v>45.900000000000006</v>
      </c>
    </row>
    <row r="100" spans="1:9" x14ac:dyDescent="0.3">
      <c r="A100" t="s">
        <v>209</v>
      </c>
      <c r="B100" t="s">
        <v>210</v>
      </c>
      <c r="C100" t="s">
        <v>41</v>
      </c>
      <c r="D100">
        <v>8</v>
      </c>
      <c r="E100">
        <v>30</v>
      </c>
      <c r="F100">
        <v>8</v>
      </c>
      <c r="G100">
        <v>807</v>
      </c>
      <c r="H100">
        <v>299</v>
      </c>
      <c r="I100">
        <v>29.900000000000002</v>
      </c>
    </row>
    <row r="101" spans="1:9" x14ac:dyDescent="0.3">
      <c r="A101" t="s">
        <v>211</v>
      </c>
      <c r="B101" t="s">
        <v>212</v>
      </c>
      <c r="C101" t="s">
        <v>42</v>
      </c>
      <c r="D101">
        <v>40</v>
      </c>
      <c r="E101">
        <v>150</v>
      </c>
      <c r="F101">
        <v>30</v>
      </c>
      <c r="G101">
        <v>578</v>
      </c>
      <c r="H101">
        <v>244</v>
      </c>
      <c r="I101">
        <v>24.400000000000002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78FF-1F9F-46D1-A649-AEEA1C93E590}">
  <dimension ref="D2:K105"/>
  <sheetViews>
    <sheetView zoomScale="73" zoomScaleNormal="73" workbookViewId="0">
      <selection activeCell="D5" sqref="D5:K105"/>
    </sheetView>
  </sheetViews>
  <sheetFormatPr defaultRowHeight="14.4" x14ac:dyDescent="0.3"/>
  <cols>
    <col min="3" max="3" width="13.77734375" customWidth="1"/>
    <col min="4" max="4" width="23.77734375" customWidth="1"/>
    <col min="5" max="5" width="27.109375" customWidth="1"/>
    <col min="6" max="6" width="26.6640625" customWidth="1"/>
    <col min="7" max="7" width="24" customWidth="1"/>
    <col min="8" max="8" width="20.6640625" customWidth="1"/>
    <col min="9" max="9" width="15.77734375" customWidth="1"/>
    <col min="10" max="10" width="19.109375" customWidth="1"/>
    <col min="11" max="11" width="15.77734375" customWidth="1"/>
  </cols>
  <sheetData>
    <row r="2" spans="4:11" hidden="1" x14ac:dyDescent="0.3"/>
    <row r="3" spans="4:11" x14ac:dyDescent="0.3">
      <c r="E3" s="11" t="s">
        <v>0</v>
      </c>
      <c r="F3" s="11"/>
      <c r="G3" s="11"/>
    </row>
    <row r="4" spans="4:11" x14ac:dyDescent="0.3">
      <c r="E4" s="11"/>
      <c r="F4" s="11"/>
      <c r="G4" s="11"/>
    </row>
    <row r="5" spans="4:11" ht="15" thickBot="1" x14ac:dyDescent="0.35">
      <c r="D5" s="1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3" t="s">
        <v>7</v>
      </c>
      <c r="J5" s="2" t="s">
        <v>6</v>
      </c>
      <c r="K5" s="2" t="s">
        <v>218</v>
      </c>
    </row>
    <row r="6" spans="4:11" ht="15" thickBot="1" x14ac:dyDescent="0.35">
      <c r="D6" s="4" t="s">
        <v>8</v>
      </c>
      <c r="E6" s="5" t="s">
        <v>43</v>
      </c>
      <c r="F6" s="5" t="s">
        <v>38</v>
      </c>
      <c r="G6" s="5">
        <v>500</v>
      </c>
      <c r="H6" s="5">
        <v>1200</v>
      </c>
      <c r="I6" s="6">
        <v>300</v>
      </c>
      <c r="J6" s="7">
        <f ca="1">RANDBETWEEN(500,1000)</f>
        <v>990</v>
      </c>
      <c r="K6" s="7">
        <f ca="1">RANDBETWEEN(200,499)</f>
        <v>211</v>
      </c>
    </row>
    <row r="7" spans="4:11" ht="15" thickBot="1" x14ac:dyDescent="0.35">
      <c r="D7" s="4" t="s">
        <v>9</v>
      </c>
      <c r="E7" s="5" t="s">
        <v>39</v>
      </c>
      <c r="F7" s="5" t="s">
        <v>40</v>
      </c>
      <c r="G7" s="5">
        <v>1500</v>
      </c>
      <c r="H7" s="5">
        <v>3000</v>
      </c>
      <c r="I7" s="6">
        <v>500</v>
      </c>
      <c r="J7" s="5">
        <f t="shared" ref="J7:J70" ca="1" si="0">RANDBETWEEN(500,1000)</f>
        <v>792</v>
      </c>
      <c r="K7" s="5">
        <f t="shared" ref="K7:K70" ca="1" si="1">RANDBETWEEN(200,499)</f>
        <v>251</v>
      </c>
    </row>
    <row r="8" spans="4:11" ht="15" thickBot="1" x14ac:dyDescent="0.35">
      <c r="D8" s="4" t="s">
        <v>10</v>
      </c>
      <c r="E8" s="5" t="s">
        <v>44</v>
      </c>
      <c r="F8" s="5" t="s">
        <v>45</v>
      </c>
      <c r="G8" s="5">
        <v>2000</v>
      </c>
      <c r="H8" s="5">
        <v>5000</v>
      </c>
      <c r="I8" s="6">
        <v>800</v>
      </c>
      <c r="J8" s="5">
        <f t="shared" ca="1" si="0"/>
        <v>646</v>
      </c>
      <c r="K8" s="5">
        <f t="shared" ca="1" si="1"/>
        <v>456</v>
      </c>
    </row>
    <row r="9" spans="4:11" ht="15" thickBot="1" x14ac:dyDescent="0.35">
      <c r="D9" s="4" t="s">
        <v>11</v>
      </c>
      <c r="E9" s="5" t="s">
        <v>46</v>
      </c>
      <c r="F9" s="5" t="s">
        <v>45</v>
      </c>
      <c r="G9" s="5">
        <v>10000</v>
      </c>
      <c r="H9" s="5">
        <v>25000</v>
      </c>
      <c r="I9" s="6">
        <v>2000</v>
      </c>
      <c r="J9" s="5">
        <f t="shared" ca="1" si="0"/>
        <v>964</v>
      </c>
      <c r="K9" s="5">
        <f t="shared" ca="1" si="1"/>
        <v>377</v>
      </c>
    </row>
    <row r="10" spans="4:11" ht="15" thickBot="1" x14ac:dyDescent="0.35">
      <c r="D10" s="4" t="s">
        <v>12</v>
      </c>
      <c r="E10" s="5" t="s">
        <v>47</v>
      </c>
      <c r="F10" s="5" t="s">
        <v>38</v>
      </c>
      <c r="G10" s="5">
        <v>200</v>
      </c>
      <c r="H10" s="5">
        <v>450</v>
      </c>
      <c r="I10" s="6">
        <v>100</v>
      </c>
      <c r="J10" s="5">
        <f t="shared" ca="1" si="0"/>
        <v>970</v>
      </c>
      <c r="K10" s="5">
        <f t="shared" ca="1" si="1"/>
        <v>495</v>
      </c>
    </row>
    <row r="11" spans="4:11" ht="15" thickBot="1" x14ac:dyDescent="0.35">
      <c r="D11" s="4" t="s">
        <v>13</v>
      </c>
      <c r="E11" s="5" t="s">
        <v>48</v>
      </c>
      <c r="F11" s="5" t="s">
        <v>40</v>
      </c>
      <c r="G11" s="5">
        <v>800</v>
      </c>
      <c r="H11" s="5">
        <v>1500</v>
      </c>
      <c r="I11" s="6">
        <v>400</v>
      </c>
      <c r="J11" s="5">
        <f t="shared" ca="1" si="0"/>
        <v>623</v>
      </c>
      <c r="K11" s="5">
        <f t="shared" ca="1" si="1"/>
        <v>228</v>
      </c>
    </row>
    <row r="12" spans="4:11" ht="15" thickBot="1" x14ac:dyDescent="0.35">
      <c r="D12" s="4" t="s">
        <v>14</v>
      </c>
      <c r="E12" s="5" t="s">
        <v>49</v>
      </c>
      <c r="F12" s="5" t="s">
        <v>41</v>
      </c>
      <c r="G12" s="5">
        <v>50</v>
      </c>
      <c r="H12" s="5">
        <v>200</v>
      </c>
      <c r="I12" s="6">
        <v>30</v>
      </c>
      <c r="J12" s="5">
        <f t="shared" ca="1" si="0"/>
        <v>931</v>
      </c>
      <c r="K12" s="5">
        <f t="shared" ca="1" si="1"/>
        <v>279</v>
      </c>
    </row>
    <row r="13" spans="4:11" ht="15" thickBot="1" x14ac:dyDescent="0.35">
      <c r="D13" s="4" t="s">
        <v>15</v>
      </c>
      <c r="E13" s="5" t="s">
        <v>50</v>
      </c>
      <c r="F13" s="5" t="s">
        <v>42</v>
      </c>
      <c r="G13" s="5">
        <v>100</v>
      </c>
      <c r="H13" s="5">
        <v>300</v>
      </c>
      <c r="I13" s="6">
        <v>50</v>
      </c>
      <c r="J13" s="5">
        <f t="shared" ca="1" si="0"/>
        <v>977</v>
      </c>
      <c r="K13" s="5">
        <f t="shared" ca="1" si="1"/>
        <v>301</v>
      </c>
    </row>
    <row r="14" spans="4:11" ht="15" thickBot="1" x14ac:dyDescent="0.35">
      <c r="D14" s="4" t="s">
        <v>16</v>
      </c>
      <c r="E14" s="5" t="s">
        <v>51</v>
      </c>
      <c r="F14" s="5" t="s">
        <v>40</v>
      </c>
      <c r="G14" s="5">
        <v>5000</v>
      </c>
      <c r="H14" s="5">
        <v>10000</v>
      </c>
      <c r="I14" s="6">
        <v>1000</v>
      </c>
      <c r="J14" s="5">
        <f t="shared" ca="1" si="0"/>
        <v>552</v>
      </c>
      <c r="K14" s="5">
        <f t="shared" ca="1" si="1"/>
        <v>469</v>
      </c>
    </row>
    <row r="15" spans="4:11" ht="15" thickBot="1" x14ac:dyDescent="0.35">
      <c r="D15" s="4" t="s">
        <v>17</v>
      </c>
      <c r="E15" s="5" t="s">
        <v>52</v>
      </c>
      <c r="F15" s="5" t="s">
        <v>42</v>
      </c>
      <c r="G15" s="5">
        <v>20000</v>
      </c>
      <c r="H15" s="5">
        <v>50000</v>
      </c>
      <c r="I15" s="6">
        <v>5000</v>
      </c>
      <c r="J15" s="5">
        <f t="shared" ca="1" si="0"/>
        <v>964</v>
      </c>
      <c r="K15" s="5">
        <f t="shared" ca="1" si="1"/>
        <v>433</v>
      </c>
    </row>
    <row r="16" spans="4:11" ht="15" thickBot="1" x14ac:dyDescent="0.35">
      <c r="D16" s="4" t="s">
        <v>18</v>
      </c>
      <c r="E16" s="5" t="s">
        <v>53</v>
      </c>
      <c r="F16" s="5" t="s">
        <v>38</v>
      </c>
      <c r="G16" s="5">
        <v>150</v>
      </c>
      <c r="H16" s="5">
        <v>400</v>
      </c>
      <c r="I16" s="6">
        <v>80</v>
      </c>
      <c r="J16" s="5">
        <f t="shared" ca="1" si="0"/>
        <v>665</v>
      </c>
      <c r="K16" s="5">
        <f t="shared" ca="1" si="1"/>
        <v>497</v>
      </c>
    </row>
    <row r="17" spans="4:11" ht="15" thickBot="1" x14ac:dyDescent="0.35">
      <c r="D17" s="4" t="s">
        <v>19</v>
      </c>
      <c r="E17" s="5" t="s">
        <v>54</v>
      </c>
      <c r="F17" s="5" t="s">
        <v>38</v>
      </c>
      <c r="G17" s="5">
        <v>300</v>
      </c>
      <c r="H17" s="5">
        <v>800</v>
      </c>
      <c r="I17" s="6">
        <v>200</v>
      </c>
      <c r="J17" s="5">
        <f t="shared" ca="1" si="0"/>
        <v>780</v>
      </c>
      <c r="K17" s="5">
        <f t="shared" ca="1" si="1"/>
        <v>263</v>
      </c>
    </row>
    <row r="18" spans="4:11" ht="15" thickBot="1" x14ac:dyDescent="0.35">
      <c r="D18" s="4" t="s">
        <v>20</v>
      </c>
      <c r="E18" s="5" t="s">
        <v>55</v>
      </c>
      <c r="F18" s="5" t="s">
        <v>45</v>
      </c>
      <c r="G18" s="5">
        <v>3000</v>
      </c>
      <c r="H18" s="5">
        <v>7000</v>
      </c>
      <c r="I18" s="6">
        <v>1500</v>
      </c>
      <c r="J18" s="5">
        <f t="shared" ca="1" si="0"/>
        <v>812</v>
      </c>
      <c r="K18" s="5">
        <f t="shared" ca="1" si="1"/>
        <v>493</v>
      </c>
    </row>
    <row r="19" spans="4:11" ht="15" thickBot="1" x14ac:dyDescent="0.35">
      <c r="D19" s="4" t="s">
        <v>21</v>
      </c>
      <c r="E19" s="5" t="s">
        <v>56</v>
      </c>
      <c r="F19" s="5" t="s">
        <v>40</v>
      </c>
      <c r="G19" s="5">
        <v>400</v>
      </c>
      <c r="H19" s="5">
        <v>1000</v>
      </c>
      <c r="I19" s="6">
        <v>200</v>
      </c>
      <c r="J19" s="5">
        <f t="shared" ca="1" si="0"/>
        <v>960</v>
      </c>
      <c r="K19" s="5">
        <f t="shared" ca="1" si="1"/>
        <v>290</v>
      </c>
    </row>
    <row r="20" spans="4:11" ht="15" thickBot="1" x14ac:dyDescent="0.35">
      <c r="D20" s="4" t="s">
        <v>22</v>
      </c>
      <c r="E20" s="5" t="s">
        <v>57</v>
      </c>
      <c r="F20" s="5" t="s">
        <v>38</v>
      </c>
      <c r="G20" s="5">
        <v>600</v>
      </c>
      <c r="H20" s="5">
        <v>1200</v>
      </c>
      <c r="I20" s="6">
        <v>300</v>
      </c>
      <c r="J20" s="5">
        <f t="shared" ca="1" si="0"/>
        <v>827</v>
      </c>
      <c r="K20" s="5">
        <f t="shared" ca="1" si="1"/>
        <v>402</v>
      </c>
    </row>
    <row r="21" spans="4:11" ht="15" thickBot="1" x14ac:dyDescent="0.35">
      <c r="D21" s="4" t="s">
        <v>23</v>
      </c>
      <c r="E21" s="5" t="s">
        <v>58</v>
      </c>
      <c r="F21" s="5" t="s">
        <v>38</v>
      </c>
      <c r="G21" s="5">
        <v>250</v>
      </c>
      <c r="H21" s="5">
        <v>550</v>
      </c>
      <c r="I21" s="6">
        <v>150</v>
      </c>
      <c r="J21" s="5">
        <f t="shared" ca="1" si="0"/>
        <v>727</v>
      </c>
      <c r="K21" s="5">
        <f t="shared" ca="1" si="1"/>
        <v>211</v>
      </c>
    </row>
    <row r="22" spans="4:11" ht="15" thickBot="1" x14ac:dyDescent="0.35">
      <c r="D22" s="4" t="s">
        <v>24</v>
      </c>
      <c r="E22" s="5" t="s">
        <v>59</v>
      </c>
      <c r="F22" s="5" t="s">
        <v>45</v>
      </c>
      <c r="G22" s="5">
        <v>100</v>
      </c>
      <c r="H22" s="5">
        <v>500</v>
      </c>
      <c r="I22" s="6">
        <v>100</v>
      </c>
      <c r="J22" s="5">
        <f t="shared" ca="1" si="0"/>
        <v>987</v>
      </c>
      <c r="K22" s="5">
        <f t="shared" ca="1" si="1"/>
        <v>426</v>
      </c>
    </row>
    <row r="23" spans="4:11" ht="15" thickBot="1" x14ac:dyDescent="0.35">
      <c r="D23" s="4" t="s">
        <v>25</v>
      </c>
      <c r="E23" s="5" t="s">
        <v>60</v>
      </c>
      <c r="F23" s="5" t="s">
        <v>42</v>
      </c>
      <c r="G23" s="5">
        <v>500</v>
      </c>
      <c r="H23" s="5">
        <v>1500</v>
      </c>
      <c r="I23" s="6">
        <v>300</v>
      </c>
      <c r="J23" s="5">
        <f t="shared" ca="1" si="0"/>
        <v>901</v>
      </c>
      <c r="K23" s="5">
        <f t="shared" ca="1" si="1"/>
        <v>248</v>
      </c>
    </row>
    <row r="24" spans="4:11" ht="15" thickBot="1" x14ac:dyDescent="0.35">
      <c r="D24" s="4" t="s">
        <v>26</v>
      </c>
      <c r="E24" s="5" t="s">
        <v>61</v>
      </c>
      <c r="F24" s="5" t="s">
        <v>45</v>
      </c>
      <c r="G24" s="5">
        <v>8000</v>
      </c>
      <c r="H24" s="5">
        <v>15000</v>
      </c>
      <c r="I24" s="6">
        <v>2000</v>
      </c>
      <c r="J24" s="5">
        <f t="shared" ca="1" si="0"/>
        <v>927</v>
      </c>
      <c r="K24" s="5">
        <f t="shared" ca="1" si="1"/>
        <v>279</v>
      </c>
    </row>
    <row r="25" spans="4:11" ht="15" thickBot="1" x14ac:dyDescent="0.35">
      <c r="D25" s="4" t="s">
        <v>27</v>
      </c>
      <c r="E25" s="5" t="s">
        <v>62</v>
      </c>
      <c r="F25" s="5" t="s">
        <v>38</v>
      </c>
      <c r="G25" s="5">
        <v>400</v>
      </c>
      <c r="H25" s="5">
        <v>1000</v>
      </c>
      <c r="I25" s="6">
        <v>300</v>
      </c>
      <c r="J25" s="5">
        <f t="shared" ca="1" si="0"/>
        <v>614</v>
      </c>
      <c r="K25" s="5">
        <f t="shared" ca="1" si="1"/>
        <v>487</v>
      </c>
    </row>
    <row r="26" spans="4:11" ht="15" thickBot="1" x14ac:dyDescent="0.35">
      <c r="D26" s="4" t="s">
        <v>28</v>
      </c>
      <c r="E26" s="5" t="s">
        <v>63</v>
      </c>
      <c r="F26" s="5" t="s">
        <v>38</v>
      </c>
      <c r="G26" s="5">
        <v>120</v>
      </c>
      <c r="H26" s="5">
        <v>350</v>
      </c>
      <c r="I26" s="6">
        <v>100</v>
      </c>
      <c r="J26" s="5">
        <f t="shared" ca="1" si="0"/>
        <v>707</v>
      </c>
      <c r="K26" s="5">
        <f t="shared" ca="1" si="1"/>
        <v>339</v>
      </c>
    </row>
    <row r="27" spans="4:11" ht="15" thickBot="1" x14ac:dyDescent="0.35">
      <c r="D27" s="4" t="s">
        <v>29</v>
      </c>
      <c r="E27" s="5" t="s">
        <v>64</v>
      </c>
      <c r="F27" s="5" t="s">
        <v>40</v>
      </c>
      <c r="G27" s="5">
        <v>600</v>
      </c>
      <c r="H27" s="5">
        <v>1200</v>
      </c>
      <c r="I27" s="6">
        <v>400</v>
      </c>
      <c r="J27" s="5">
        <f t="shared" ca="1" si="0"/>
        <v>896</v>
      </c>
      <c r="K27" s="5">
        <f t="shared" ca="1" si="1"/>
        <v>480</v>
      </c>
    </row>
    <row r="28" spans="4:11" ht="15" thickBot="1" x14ac:dyDescent="0.35">
      <c r="D28" s="4" t="s">
        <v>30</v>
      </c>
      <c r="E28" s="5" t="s">
        <v>65</v>
      </c>
      <c r="F28" s="5" t="s">
        <v>45</v>
      </c>
      <c r="G28" s="5">
        <v>2000</v>
      </c>
      <c r="H28" s="5">
        <v>4000</v>
      </c>
      <c r="I28" s="6">
        <v>800</v>
      </c>
      <c r="J28" s="5">
        <f t="shared" ca="1" si="0"/>
        <v>730</v>
      </c>
      <c r="K28" s="5">
        <f t="shared" ca="1" si="1"/>
        <v>266</v>
      </c>
    </row>
    <row r="29" spans="4:11" ht="15" thickBot="1" x14ac:dyDescent="0.35">
      <c r="D29" s="4" t="s">
        <v>31</v>
      </c>
      <c r="E29" s="5" t="s">
        <v>66</v>
      </c>
      <c r="F29" s="5" t="s">
        <v>42</v>
      </c>
      <c r="G29" s="5">
        <v>5000</v>
      </c>
      <c r="H29" s="5">
        <v>12000</v>
      </c>
      <c r="I29" s="6">
        <v>1000</v>
      </c>
      <c r="J29" s="5">
        <f t="shared" ca="1" si="0"/>
        <v>912</v>
      </c>
      <c r="K29" s="5">
        <f t="shared" ca="1" si="1"/>
        <v>330</v>
      </c>
    </row>
    <row r="30" spans="4:11" ht="15" thickBot="1" x14ac:dyDescent="0.35">
      <c r="D30" s="4" t="s">
        <v>32</v>
      </c>
      <c r="E30" s="5" t="s">
        <v>67</v>
      </c>
      <c r="F30" s="5" t="s">
        <v>38</v>
      </c>
      <c r="G30" s="5">
        <v>80</v>
      </c>
      <c r="H30" s="5">
        <v>250</v>
      </c>
      <c r="I30" s="6">
        <v>50</v>
      </c>
      <c r="J30" s="5">
        <f t="shared" ca="1" si="0"/>
        <v>684</v>
      </c>
      <c r="K30" s="5">
        <f t="shared" ca="1" si="1"/>
        <v>283</v>
      </c>
    </row>
    <row r="31" spans="4:11" ht="15" thickBot="1" x14ac:dyDescent="0.35">
      <c r="D31" s="4" t="s">
        <v>33</v>
      </c>
      <c r="E31" s="5" t="s">
        <v>68</v>
      </c>
      <c r="F31" s="5" t="s">
        <v>45</v>
      </c>
      <c r="G31" s="5">
        <v>5000</v>
      </c>
      <c r="H31" s="5">
        <v>10000</v>
      </c>
      <c r="I31" s="6">
        <v>1500</v>
      </c>
      <c r="J31" s="5">
        <f t="shared" ca="1" si="0"/>
        <v>521</v>
      </c>
      <c r="K31" s="5">
        <f t="shared" ca="1" si="1"/>
        <v>237</v>
      </c>
    </row>
    <row r="32" spans="4:11" ht="15" thickBot="1" x14ac:dyDescent="0.35">
      <c r="D32" s="4" t="s">
        <v>34</v>
      </c>
      <c r="E32" s="5" t="s">
        <v>69</v>
      </c>
      <c r="F32" s="5" t="s">
        <v>40</v>
      </c>
      <c r="G32" s="5">
        <v>300</v>
      </c>
      <c r="H32" s="5">
        <v>800</v>
      </c>
      <c r="I32" s="6">
        <v>200</v>
      </c>
      <c r="J32" s="5">
        <f t="shared" ca="1" si="0"/>
        <v>911</v>
      </c>
      <c r="K32" s="5">
        <f t="shared" ca="1" si="1"/>
        <v>225</v>
      </c>
    </row>
    <row r="33" spans="4:11" ht="15" thickBot="1" x14ac:dyDescent="0.35">
      <c r="D33" s="4" t="s">
        <v>35</v>
      </c>
      <c r="E33" s="5" t="s">
        <v>70</v>
      </c>
      <c r="F33" s="5" t="s">
        <v>42</v>
      </c>
      <c r="G33" s="5">
        <v>1000</v>
      </c>
      <c r="H33" s="5">
        <v>2500</v>
      </c>
      <c r="I33" s="6">
        <v>500</v>
      </c>
      <c r="J33" s="5">
        <f t="shared" ca="1" si="0"/>
        <v>876</v>
      </c>
      <c r="K33" s="5">
        <f t="shared" ca="1" si="1"/>
        <v>267</v>
      </c>
    </row>
    <row r="34" spans="4:11" ht="15" thickBot="1" x14ac:dyDescent="0.35">
      <c r="D34" s="4" t="s">
        <v>36</v>
      </c>
      <c r="E34" s="5" t="s">
        <v>71</v>
      </c>
      <c r="F34" s="5" t="s">
        <v>45</v>
      </c>
      <c r="G34" s="5">
        <v>10000</v>
      </c>
      <c r="H34" s="5">
        <v>30000</v>
      </c>
      <c r="I34" s="6">
        <v>5000</v>
      </c>
      <c r="J34" s="5">
        <f t="shared" ca="1" si="0"/>
        <v>524</v>
      </c>
      <c r="K34" s="5">
        <f t="shared" ca="1" si="1"/>
        <v>200</v>
      </c>
    </row>
    <row r="35" spans="4:11" ht="15" thickBot="1" x14ac:dyDescent="0.35">
      <c r="D35" s="4" t="s">
        <v>37</v>
      </c>
      <c r="E35" s="5" t="s">
        <v>72</v>
      </c>
      <c r="F35" s="5" t="s">
        <v>38</v>
      </c>
      <c r="G35" s="5">
        <v>200</v>
      </c>
      <c r="H35" s="5">
        <v>500</v>
      </c>
      <c r="I35" s="6">
        <v>100</v>
      </c>
      <c r="J35" s="5">
        <f t="shared" ca="1" si="0"/>
        <v>604</v>
      </c>
      <c r="K35" s="5">
        <f t="shared" ca="1" si="1"/>
        <v>260</v>
      </c>
    </row>
    <row r="36" spans="4:11" ht="15" thickBot="1" x14ac:dyDescent="0.35">
      <c r="D36" s="4" t="s">
        <v>73</v>
      </c>
      <c r="E36" s="5" t="s">
        <v>74</v>
      </c>
      <c r="F36" s="5" t="s">
        <v>40</v>
      </c>
      <c r="G36" s="5">
        <v>400</v>
      </c>
      <c r="H36" s="5">
        <v>1200</v>
      </c>
      <c r="I36" s="6">
        <v>300</v>
      </c>
      <c r="J36" s="5">
        <f t="shared" ca="1" si="0"/>
        <v>798</v>
      </c>
      <c r="K36" s="5">
        <f t="shared" ca="1" si="1"/>
        <v>466</v>
      </c>
    </row>
    <row r="37" spans="4:11" ht="15" thickBot="1" x14ac:dyDescent="0.35">
      <c r="D37" s="4" t="s">
        <v>75</v>
      </c>
      <c r="E37" s="5" t="s">
        <v>76</v>
      </c>
      <c r="F37" s="5" t="s">
        <v>45</v>
      </c>
      <c r="G37" s="5">
        <v>500</v>
      </c>
      <c r="H37" s="5">
        <v>1500</v>
      </c>
      <c r="I37" s="6">
        <v>300</v>
      </c>
      <c r="J37" s="5">
        <f t="shared" ca="1" si="0"/>
        <v>976</v>
      </c>
      <c r="K37" s="5">
        <f t="shared" ca="1" si="1"/>
        <v>232</v>
      </c>
    </row>
    <row r="38" spans="4:11" ht="15" thickBot="1" x14ac:dyDescent="0.35">
      <c r="D38" s="4" t="s">
        <v>77</v>
      </c>
      <c r="E38" s="5" t="s">
        <v>78</v>
      </c>
      <c r="F38" s="5" t="s">
        <v>41</v>
      </c>
      <c r="G38" s="5">
        <v>20</v>
      </c>
      <c r="H38" s="5">
        <v>100</v>
      </c>
      <c r="I38" s="6">
        <v>20</v>
      </c>
      <c r="J38" s="5">
        <f t="shared" ca="1" si="0"/>
        <v>791</v>
      </c>
      <c r="K38" s="5">
        <f t="shared" ca="1" si="1"/>
        <v>421</v>
      </c>
    </row>
    <row r="39" spans="4:11" ht="15" thickBot="1" x14ac:dyDescent="0.35">
      <c r="D39" s="4" t="s">
        <v>79</v>
      </c>
      <c r="E39" s="5" t="s">
        <v>80</v>
      </c>
      <c r="F39" s="5" t="s">
        <v>41</v>
      </c>
      <c r="G39" s="5">
        <v>10</v>
      </c>
      <c r="H39" s="5">
        <v>50</v>
      </c>
      <c r="I39" s="6">
        <v>10</v>
      </c>
      <c r="J39" s="5">
        <f t="shared" ca="1" si="0"/>
        <v>583</v>
      </c>
      <c r="K39" s="5">
        <f t="shared" ca="1" si="1"/>
        <v>229</v>
      </c>
    </row>
    <row r="40" spans="4:11" ht="15" thickBot="1" x14ac:dyDescent="0.35">
      <c r="D40" s="4" t="s">
        <v>81</v>
      </c>
      <c r="E40" s="5" t="s">
        <v>82</v>
      </c>
      <c r="F40" s="5" t="s">
        <v>41</v>
      </c>
      <c r="G40" s="5">
        <v>50</v>
      </c>
      <c r="H40" s="5">
        <v>200</v>
      </c>
      <c r="I40" s="6">
        <v>40</v>
      </c>
      <c r="J40" s="5">
        <f t="shared" ca="1" si="0"/>
        <v>900</v>
      </c>
      <c r="K40" s="5">
        <f t="shared" ca="1" si="1"/>
        <v>331</v>
      </c>
    </row>
    <row r="41" spans="4:11" ht="15" thickBot="1" x14ac:dyDescent="0.35">
      <c r="D41" s="4" t="s">
        <v>83</v>
      </c>
      <c r="E41" s="5" t="s">
        <v>84</v>
      </c>
      <c r="F41" s="5" t="s">
        <v>45</v>
      </c>
      <c r="G41" s="5">
        <v>150</v>
      </c>
      <c r="H41" s="5">
        <v>500</v>
      </c>
      <c r="I41" s="6">
        <v>100</v>
      </c>
      <c r="J41" s="5">
        <f t="shared" ca="1" si="0"/>
        <v>941</v>
      </c>
      <c r="K41" s="5">
        <f t="shared" ca="1" si="1"/>
        <v>257</v>
      </c>
    </row>
    <row r="42" spans="4:11" ht="15" thickBot="1" x14ac:dyDescent="0.35">
      <c r="D42" s="4" t="s">
        <v>85</v>
      </c>
      <c r="E42" s="5" t="s">
        <v>86</v>
      </c>
      <c r="F42" s="5" t="s">
        <v>41</v>
      </c>
      <c r="G42" s="5">
        <v>1000</v>
      </c>
      <c r="H42" s="5">
        <v>5000</v>
      </c>
      <c r="I42" s="6">
        <v>1000</v>
      </c>
      <c r="J42" s="5">
        <f t="shared" ca="1" si="0"/>
        <v>544</v>
      </c>
      <c r="K42" s="5">
        <f t="shared" ca="1" si="1"/>
        <v>320</v>
      </c>
    </row>
    <row r="43" spans="4:11" ht="15" thickBot="1" x14ac:dyDescent="0.35">
      <c r="D43" s="4" t="s">
        <v>87</v>
      </c>
      <c r="E43" s="5" t="s">
        <v>88</v>
      </c>
      <c r="F43" s="5" t="s">
        <v>42</v>
      </c>
      <c r="G43" s="5">
        <v>5000</v>
      </c>
      <c r="H43" s="5">
        <v>15000</v>
      </c>
      <c r="I43" s="6">
        <v>2000</v>
      </c>
      <c r="J43" s="5">
        <f t="shared" ca="1" si="0"/>
        <v>749</v>
      </c>
      <c r="K43" s="5">
        <f t="shared" ca="1" si="1"/>
        <v>332</v>
      </c>
    </row>
    <row r="44" spans="4:11" ht="15" thickBot="1" x14ac:dyDescent="0.35">
      <c r="D44" s="4" t="s">
        <v>89</v>
      </c>
      <c r="E44" s="5" t="s">
        <v>90</v>
      </c>
      <c r="F44" s="5" t="s">
        <v>40</v>
      </c>
      <c r="G44" s="5">
        <v>400</v>
      </c>
      <c r="H44" s="5">
        <v>1000</v>
      </c>
      <c r="I44" s="6">
        <v>300</v>
      </c>
      <c r="J44" s="5">
        <f t="shared" ca="1" si="0"/>
        <v>916</v>
      </c>
      <c r="K44" s="5">
        <f t="shared" ca="1" si="1"/>
        <v>410</v>
      </c>
    </row>
    <row r="45" spans="4:11" ht="15" thickBot="1" x14ac:dyDescent="0.35">
      <c r="D45" s="4" t="s">
        <v>91</v>
      </c>
      <c r="E45" s="5" t="s">
        <v>92</v>
      </c>
      <c r="F45" s="5" t="s">
        <v>45</v>
      </c>
      <c r="G45" s="5">
        <v>800</v>
      </c>
      <c r="H45" s="5">
        <v>2000</v>
      </c>
      <c r="I45" s="6">
        <v>500</v>
      </c>
      <c r="J45" s="5">
        <f t="shared" ca="1" si="0"/>
        <v>858</v>
      </c>
      <c r="K45" s="5">
        <f t="shared" ca="1" si="1"/>
        <v>282</v>
      </c>
    </row>
    <row r="46" spans="4:11" ht="15" thickBot="1" x14ac:dyDescent="0.35">
      <c r="D46" s="4" t="s">
        <v>93</v>
      </c>
      <c r="E46" s="5" t="s">
        <v>94</v>
      </c>
      <c r="F46" s="5" t="s">
        <v>41</v>
      </c>
      <c r="G46" s="5">
        <v>5</v>
      </c>
      <c r="H46" s="5">
        <v>20</v>
      </c>
      <c r="I46" s="6">
        <v>5</v>
      </c>
      <c r="J46" s="5">
        <f t="shared" ca="1" si="0"/>
        <v>993</v>
      </c>
      <c r="K46" s="5">
        <f t="shared" ca="1" si="1"/>
        <v>390</v>
      </c>
    </row>
    <row r="47" spans="4:11" ht="15" thickBot="1" x14ac:dyDescent="0.35">
      <c r="D47" s="4" t="s">
        <v>95</v>
      </c>
      <c r="E47" s="5" t="s">
        <v>96</v>
      </c>
      <c r="F47" s="5" t="s">
        <v>41</v>
      </c>
      <c r="G47" s="5">
        <v>200</v>
      </c>
      <c r="H47" s="5">
        <v>600</v>
      </c>
      <c r="I47" s="6">
        <v>100</v>
      </c>
      <c r="J47" s="5">
        <f t="shared" ca="1" si="0"/>
        <v>778</v>
      </c>
      <c r="K47" s="5">
        <f t="shared" ca="1" si="1"/>
        <v>280</v>
      </c>
    </row>
    <row r="48" spans="4:11" ht="15" thickBot="1" x14ac:dyDescent="0.35">
      <c r="D48" s="4" t="s">
        <v>97</v>
      </c>
      <c r="E48" s="5" t="s">
        <v>98</v>
      </c>
      <c r="F48" s="5" t="s">
        <v>41</v>
      </c>
      <c r="G48" s="5">
        <v>8</v>
      </c>
      <c r="H48" s="5">
        <v>30</v>
      </c>
      <c r="I48" s="6">
        <v>10</v>
      </c>
      <c r="J48" s="5">
        <f t="shared" ca="1" si="0"/>
        <v>534</v>
      </c>
      <c r="K48" s="5">
        <f t="shared" ca="1" si="1"/>
        <v>289</v>
      </c>
    </row>
    <row r="49" spans="4:11" ht="15" thickBot="1" x14ac:dyDescent="0.35">
      <c r="D49" s="4" t="s">
        <v>99</v>
      </c>
      <c r="E49" s="5" t="s">
        <v>100</v>
      </c>
      <c r="F49" s="5" t="s">
        <v>41</v>
      </c>
      <c r="G49" s="5">
        <v>15</v>
      </c>
      <c r="H49" s="5">
        <v>60</v>
      </c>
      <c r="I49" s="6">
        <v>15</v>
      </c>
      <c r="J49" s="5">
        <f t="shared" ca="1" si="0"/>
        <v>988</v>
      </c>
      <c r="K49" s="5">
        <f t="shared" ca="1" si="1"/>
        <v>373</v>
      </c>
    </row>
    <row r="50" spans="4:11" ht="15" thickBot="1" x14ac:dyDescent="0.35">
      <c r="D50" s="4" t="s">
        <v>101</v>
      </c>
      <c r="E50" s="5" t="s">
        <v>102</v>
      </c>
      <c r="F50" s="5" t="s">
        <v>38</v>
      </c>
      <c r="G50" s="5">
        <v>100</v>
      </c>
      <c r="H50" s="5">
        <v>300</v>
      </c>
      <c r="I50" s="6">
        <v>80</v>
      </c>
      <c r="J50" s="5">
        <f t="shared" ca="1" si="0"/>
        <v>544</v>
      </c>
      <c r="K50" s="5">
        <f t="shared" ca="1" si="1"/>
        <v>287</v>
      </c>
    </row>
    <row r="51" spans="4:11" ht="15" thickBot="1" x14ac:dyDescent="0.35">
      <c r="D51" s="4" t="s">
        <v>103</v>
      </c>
      <c r="E51" s="5" t="s">
        <v>104</v>
      </c>
      <c r="F51" s="5" t="s">
        <v>45</v>
      </c>
      <c r="G51" s="5">
        <v>300</v>
      </c>
      <c r="H51" s="5">
        <v>800</v>
      </c>
      <c r="I51" s="6">
        <v>200</v>
      </c>
      <c r="J51" s="5">
        <f t="shared" ca="1" si="0"/>
        <v>790</v>
      </c>
      <c r="K51" s="5">
        <f t="shared" ca="1" si="1"/>
        <v>259</v>
      </c>
    </row>
    <row r="52" spans="4:11" ht="15" thickBot="1" x14ac:dyDescent="0.35">
      <c r="D52" s="4" t="s">
        <v>105</v>
      </c>
      <c r="E52" s="5" t="s">
        <v>106</v>
      </c>
      <c r="F52" s="5" t="s">
        <v>41</v>
      </c>
      <c r="G52" s="5">
        <v>50</v>
      </c>
      <c r="H52" s="5">
        <v>150</v>
      </c>
      <c r="I52" s="6">
        <v>30</v>
      </c>
      <c r="J52" s="5">
        <f t="shared" ca="1" si="0"/>
        <v>928</v>
      </c>
      <c r="K52" s="5">
        <f t="shared" ca="1" si="1"/>
        <v>393</v>
      </c>
    </row>
    <row r="53" spans="4:11" ht="15" thickBot="1" x14ac:dyDescent="0.35">
      <c r="D53" s="4" t="s">
        <v>107</v>
      </c>
      <c r="E53" s="5" t="s">
        <v>108</v>
      </c>
      <c r="F53" s="5" t="s">
        <v>41</v>
      </c>
      <c r="G53" s="5">
        <v>40</v>
      </c>
      <c r="H53" s="5">
        <v>120</v>
      </c>
      <c r="I53" s="6">
        <v>30</v>
      </c>
      <c r="J53" s="5">
        <f t="shared" ca="1" si="0"/>
        <v>853</v>
      </c>
      <c r="K53" s="5">
        <f t="shared" ca="1" si="1"/>
        <v>499</v>
      </c>
    </row>
    <row r="54" spans="4:11" ht="15" thickBot="1" x14ac:dyDescent="0.35">
      <c r="D54" s="4" t="s">
        <v>109</v>
      </c>
      <c r="E54" s="5" t="s">
        <v>110</v>
      </c>
      <c r="F54" s="5" t="s">
        <v>41</v>
      </c>
      <c r="G54" s="5">
        <v>10</v>
      </c>
      <c r="H54" s="5">
        <v>40</v>
      </c>
      <c r="I54" s="6">
        <v>10</v>
      </c>
      <c r="J54" s="5">
        <f t="shared" ca="1" si="0"/>
        <v>541</v>
      </c>
      <c r="K54" s="5">
        <f t="shared" ca="1" si="1"/>
        <v>342</v>
      </c>
    </row>
    <row r="55" spans="4:11" ht="15" thickBot="1" x14ac:dyDescent="0.35">
      <c r="D55" s="4" t="s">
        <v>111</v>
      </c>
      <c r="E55" s="5" t="s">
        <v>112</v>
      </c>
      <c r="F55" s="5" t="s">
        <v>41</v>
      </c>
      <c r="G55" s="5">
        <v>5</v>
      </c>
      <c r="H55" s="5">
        <v>25</v>
      </c>
      <c r="I55" s="6">
        <v>5</v>
      </c>
      <c r="J55" s="5">
        <f t="shared" ca="1" si="0"/>
        <v>691</v>
      </c>
      <c r="K55" s="5">
        <f t="shared" ca="1" si="1"/>
        <v>202</v>
      </c>
    </row>
    <row r="56" spans="4:11" ht="15" thickBot="1" x14ac:dyDescent="0.35">
      <c r="D56" s="4" t="s">
        <v>113</v>
      </c>
      <c r="E56" s="5" t="s">
        <v>114</v>
      </c>
      <c r="F56" s="5" t="s">
        <v>38</v>
      </c>
      <c r="G56" s="5">
        <v>120</v>
      </c>
      <c r="H56" s="5">
        <v>450</v>
      </c>
      <c r="I56" s="6">
        <v>100</v>
      </c>
      <c r="J56" s="5">
        <f t="shared" ca="1" si="0"/>
        <v>507</v>
      </c>
      <c r="K56" s="5">
        <f t="shared" ca="1" si="1"/>
        <v>206</v>
      </c>
    </row>
    <row r="57" spans="4:11" ht="15" thickBot="1" x14ac:dyDescent="0.35">
      <c r="D57" s="4" t="s">
        <v>115</v>
      </c>
      <c r="E57" s="5" t="s">
        <v>116</v>
      </c>
      <c r="F57" s="5" t="s">
        <v>38</v>
      </c>
      <c r="G57" s="5">
        <v>200</v>
      </c>
      <c r="H57" s="5">
        <v>600</v>
      </c>
      <c r="I57" s="6">
        <v>150</v>
      </c>
      <c r="J57" s="5">
        <f t="shared" ca="1" si="0"/>
        <v>696</v>
      </c>
      <c r="K57" s="5">
        <f t="shared" ca="1" si="1"/>
        <v>443</v>
      </c>
    </row>
    <row r="58" spans="4:11" ht="15" thickBot="1" x14ac:dyDescent="0.35">
      <c r="D58" s="4" t="s">
        <v>117</v>
      </c>
      <c r="E58" s="5" t="s">
        <v>118</v>
      </c>
      <c r="F58" s="5" t="s">
        <v>40</v>
      </c>
      <c r="G58" s="5">
        <v>500</v>
      </c>
      <c r="H58" s="5">
        <v>1500</v>
      </c>
      <c r="I58" s="6">
        <v>400</v>
      </c>
      <c r="J58" s="5">
        <f t="shared" ca="1" si="0"/>
        <v>749</v>
      </c>
      <c r="K58" s="5">
        <f t="shared" ca="1" si="1"/>
        <v>493</v>
      </c>
    </row>
    <row r="59" spans="4:11" ht="15" thickBot="1" x14ac:dyDescent="0.35">
      <c r="D59" s="4" t="s">
        <v>119</v>
      </c>
      <c r="E59" s="5" t="s">
        <v>120</v>
      </c>
      <c r="F59" s="5" t="s">
        <v>45</v>
      </c>
      <c r="G59" s="5">
        <v>1000</v>
      </c>
      <c r="H59" s="5">
        <v>2500</v>
      </c>
      <c r="I59" s="6">
        <v>800</v>
      </c>
      <c r="J59" s="5">
        <f t="shared" ca="1" si="0"/>
        <v>721</v>
      </c>
      <c r="K59" s="5">
        <f t="shared" ca="1" si="1"/>
        <v>293</v>
      </c>
    </row>
    <row r="60" spans="4:11" ht="15" thickBot="1" x14ac:dyDescent="0.35">
      <c r="D60" s="4" t="s">
        <v>121</v>
      </c>
      <c r="E60" s="5" t="s">
        <v>122</v>
      </c>
      <c r="F60" s="5" t="s">
        <v>45</v>
      </c>
      <c r="G60" s="5">
        <v>400</v>
      </c>
      <c r="H60" s="5">
        <v>1000</v>
      </c>
      <c r="I60" s="6">
        <v>200</v>
      </c>
      <c r="J60" s="5">
        <f t="shared" ca="1" si="0"/>
        <v>587</v>
      </c>
      <c r="K60" s="5">
        <f t="shared" ca="1" si="1"/>
        <v>252</v>
      </c>
    </row>
    <row r="61" spans="4:11" ht="15" thickBot="1" x14ac:dyDescent="0.35">
      <c r="D61" s="4" t="s">
        <v>123</v>
      </c>
      <c r="E61" s="5" t="s">
        <v>124</v>
      </c>
      <c r="F61" s="5" t="s">
        <v>41</v>
      </c>
      <c r="G61" s="5">
        <v>2</v>
      </c>
      <c r="H61" s="5">
        <v>10</v>
      </c>
      <c r="I61" s="6">
        <v>3</v>
      </c>
      <c r="J61" s="5">
        <f t="shared" ca="1" si="0"/>
        <v>918</v>
      </c>
      <c r="K61" s="5">
        <f t="shared" ca="1" si="1"/>
        <v>341</v>
      </c>
    </row>
    <row r="62" spans="4:11" ht="15" thickBot="1" x14ac:dyDescent="0.35">
      <c r="D62" s="4" t="s">
        <v>125</v>
      </c>
      <c r="E62" s="5" t="s">
        <v>126</v>
      </c>
      <c r="F62" s="5" t="s">
        <v>41</v>
      </c>
      <c r="G62" s="5">
        <v>20</v>
      </c>
      <c r="H62" s="5">
        <v>80</v>
      </c>
      <c r="I62" s="6">
        <v>20</v>
      </c>
      <c r="J62" s="5">
        <f t="shared" ca="1" si="0"/>
        <v>989</v>
      </c>
      <c r="K62" s="5">
        <f t="shared" ca="1" si="1"/>
        <v>430</v>
      </c>
    </row>
    <row r="63" spans="4:11" ht="15" thickBot="1" x14ac:dyDescent="0.35">
      <c r="D63" s="4" t="s">
        <v>127</v>
      </c>
      <c r="E63" s="5" t="s">
        <v>128</v>
      </c>
      <c r="F63" s="5" t="s">
        <v>40</v>
      </c>
      <c r="G63" s="5">
        <v>2000</v>
      </c>
      <c r="H63" s="5">
        <v>5000</v>
      </c>
      <c r="I63" s="6">
        <v>1000</v>
      </c>
      <c r="J63" s="5">
        <f t="shared" ca="1" si="0"/>
        <v>886</v>
      </c>
      <c r="K63" s="5">
        <f t="shared" ca="1" si="1"/>
        <v>227</v>
      </c>
    </row>
    <row r="64" spans="4:11" ht="15" thickBot="1" x14ac:dyDescent="0.35">
      <c r="D64" s="4" t="s">
        <v>129</v>
      </c>
      <c r="E64" s="5" t="s">
        <v>130</v>
      </c>
      <c r="F64" s="5" t="s">
        <v>41</v>
      </c>
      <c r="G64" s="5">
        <v>5000</v>
      </c>
      <c r="H64" s="5">
        <v>15000</v>
      </c>
      <c r="I64" s="6">
        <v>3000</v>
      </c>
      <c r="J64" s="5">
        <f t="shared" ca="1" si="0"/>
        <v>634</v>
      </c>
      <c r="K64" s="5">
        <f t="shared" ca="1" si="1"/>
        <v>474</v>
      </c>
    </row>
    <row r="65" spans="4:11" ht="15" thickBot="1" x14ac:dyDescent="0.35">
      <c r="D65" s="4" t="s">
        <v>131</v>
      </c>
      <c r="E65" s="5" t="s">
        <v>132</v>
      </c>
      <c r="F65" s="5" t="s">
        <v>42</v>
      </c>
      <c r="G65" s="5">
        <v>50</v>
      </c>
      <c r="H65" s="5">
        <v>200</v>
      </c>
      <c r="I65" s="6">
        <v>40</v>
      </c>
      <c r="J65" s="5">
        <f t="shared" ca="1" si="0"/>
        <v>890</v>
      </c>
      <c r="K65" s="5">
        <f t="shared" ca="1" si="1"/>
        <v>255</v>
      </c>
    </row>
    <row r="66" spans="4:11" ht="15" thickBot="1" x14ac:dyDescent="0.35">
      <c r="D66" s="4" t="s">
        <v>133</v>
      </c>
      <c r="E66" s="5" t="s">
        <v>134</v>
      </c>
      <c r="F66" s="5" t="s">
        <v>38</v>
      </c>
      <c r="G66" s="5">
        <v>180</v>
      </c>
      <c r="H66" s="5">
        <v>500</v>
      </c>
      <c r="I66" s="6">
        <v>120</v>
      </c>
      <c r="J66" s="5">
        <f t="shared" ca="1" si="0"/>
        <v>796</v>
      </c>
      <c r="K66" s="5">
        <f t="shared" ca="1" si="1"/>
        <v>291</v>
      </c>
    </row>
    <row r="67" spans="4:11" ht="15" thickBot="1" x14ac:dyDescent="0.35">
      <c r="D67" s="4" t="s">
        <v>135</v>
      </c>
      <c r="E67" s="5" t="s">
        <v>136</v>
      </c>
      <c r="F67" s="5" t="s">
        <v>38</v>
      </c>
      <c r="G67" s="5">
        <v>250</v>
      </c>
      <c r="H67" s="5">
        <v>700</v>
      </c>
      <c r="I67" s="6">
        <v>200</v>
      </c>
      <c r="J67" s="5">
        <f t="shared" ca="1" si="0"/>
        <v>937</v>
      </c>
      <c r="K67" s="5">
        <f t="shared" ca="1" si="1"/>
        <v>429</v>
      </c>
    </row>
    <row r="68" spans="4:11" ht="15" thickBot="1" x14ac:dyDescent="0.35">
      <c r="D68" s="4" t="s">
        <v>137</v>
      </c>
      <c r="E68" s="5" t="s">
        <v>138</v>
      </c>
      <c r="F68" s="5" t="s">
        <v>38</v>
      </c>
      <c r="G68" s="5">
        <v>50</v>
      </c>
      <c r="H68" s="5">
        <v>150</v>
      </c>
      <c r="I68" s="6">
        <v>40</v>
      </c>
      <c r="J68" s="5">
        <f t="shared" ca="1" si="0"/>
        <v>562</v>
      </c>
      <c r="K68" s="5">
        <f t="shared" ca="1" si="1"/>
        <v>362</v>
      </c>
    </row>
    <row r="69" spans="4:11" ht="15" thickBot="1" x14ac:dyDescent="0.35">
      <c r="D69" s="4" t="s">
        <v>139</v>
      </c>
      <c r="E69" s="5" t="s">
        <v>140</v>
      </c>
      <c r="F69" s="5" t="s">
        <v>40</v>
      </c>
      <c r="G69" s="5">
        <v>400</v>
      </c>
      <c r="H69" s="5">
        <v>1200</v>
      </c>
      <c r="I69" s="6">
        <v>300</v>
      </c>
      <c r="J69" s="5">
        <f t="shared" ca="1" si="0"/>
        <v>561</v>
      </c>
      <c r="K69" s="5">
        <f t="shared" ca="1" si="1"/>
        <v>226</v>
      </c>
    </row>
    <row r="70" spans="4:11" ht="15" thickBot="1" x14ac:dyDescent="0.35">
      <c r="D70" s="4" t="s">
        <v>141</v>
      </c>
      <c r="E70" s="5" t="s">
        <v>142</v>
      </c>
      <c r="F70" s="5" t="s">
        <v>45</v>
      </c>
      <c r="G70" s="5">
        <v>100</v>
      </c>
      <c r="H70" s="5">
        <v>400</v>
      </c>
      <c r="I70" s="6">
        <v>80</v>
      </c>
      <c r="J70" s="5">
        <f t="shared" ca="1" si="0"/>
        <v>543</v>
      </c>
      <c r="K70" s="5">
        <f t="shared" ca="1" si="1"/>
        <v>430</v>
      </c>
    </row>
    <row r="71" spans="4:11" ht="15" thickBot="1" x14ac:dyDescent="0.35">
      <c r="D71" s="4" t="s">
        <v>143</v>
      </c>
      <c r="E71" s="5" t="s">
        <v>144</v>
      </c>
      <c r="F71" s="5" t="s">
        <v>40</v>
      </c>
      <c r="G71" s="5">
        <v>2000</v>
      </c>
      <c r="H71" s="5">
        <v>6000</v>
      </c>
      <c r="I71" s="6">
        <v>1000</v>
      </c>
      <c r="J71" s="5">
        <f t="shared" ref="J71:J105" ca="1" si="2">RANDBETWEEN(500,1000)</f>
        <v>546</v>
      </c>
      <c r="K71" s="5">
        <f t="shared" ref="K71:K105" ca="1" si="3">RANDBETWEEN(200,499)</f>
        <v>370</v>
      </c>
    </row>
    <row r="72" spans="4:11" ht="15" thickBot="1" x14ac:dyDescent="0.35">
      <c r="D72" s="4" t="s">
        <v>145</v>
      </c>
      <c r="E72" s="5" t="s">
        <v>146</v>
      </c>
      <c r="F72" s="5" t="s">
        <v>45</v>
      </c>
      <c r="G72" s="5">
        <v>800</v>
      </c>
      <c r="H72" s="5">
        <v>2500</v>
      </c>
      <c r="I72" s="6">
        <v>500</v>
      </c>
      <c r="J72" s="5">
        <f t="shared" ca="1" si="2"/>
        <v>924</v>
      </c>
      <c r="K72" s="5">
        <f t="shared" ca="1" si="3"/>
        <v>279</v>
      </c>
    </row>
    <row r="73" spans="4:11" ht="15" thickBot="1" x14ac:dyDescent="0.35">
      <c r="D73" s="4" t="s">
        <v>147</v>
      </c>
      <c r="E73" s="5" t="s">
        <v>148</v>
      </c>
      <c r="F73" s="5" t="s">
        <v>45</v>
      </c>
      <c r="G73" s="5">
        <v>300</v>
      </c>
      <c r="H73" s="5">
        <v>900</v>
      </c>
      <c r="I73" s="6">
        <v>200</v>
      </c>
      <c r="J73" s="5">
        <f t="shared" ca="1" si="2"/>
        <v>957</v>
      </c>
      <c r="K73" s="5">
        <f t="shared" ca="1" si="3"/>
        <v>250</v>
      </c>
    </row>
    <row r="74" spans="4:11" ht="15" thickBot="1" x14ac:dyDescent="0.35">
      <c r="D74" s="4" t="s">
        <v>149</v>
      </c>
      <c r="E74" s="5" t="s">
        <v>150</v>
      </c>
      <c r="F74" s="5" t="s">
        <v>41</v>
      </c>
      <c r="G74" s="5">
        <v>30</v>
      </c>
      <c r="H74" s="5">
        <v>120</v>
      </c>
      <c r="I74" s="6">
        <v>25</v>
      </c>
      <c r="J74" s="5">
        <f t="shared" ca="1" si="2"/>
        <v>759</v>
      </c>
      <c r="K74" s="5">
        <f t="shared" ca="1" si="3"/>
        <v>323</v>
      </c>
    </row>
    <row r="75" spans="4:11" ht="15" thickBot="1" x14ac:dyDescent="0.35">
      <c r="D75" s="4" t="s">
        <v>151</v>
      </c>
      <c r="E75" s="5" t="s">
        <v>152</v>
      </c>
      <c r="F75" s="5" t="s">
        <v>41</v>
      </c>
      <c r="G75" s="5">
        <v>15</v>
      </c>
      <c r="H75" s="5">
        <v>60</v>
      </c>
      <c r="I75" s="6">
        <v>15</v>
      </c>
      <c r="J75" s="5">
        <f t="shared" ca="1" si="2"/>
        <v>848</v>
      </c>
      <c r="K75" s="5">
        <f t="shared" ca="1" si="3"/>
        <v>239</v>
      </c>
    </row>
    <row r="76" spans="4:11" ht="15" thickBot="1" x14ac:dyDescent="0.35">
      <c r="D76" s="4" t="s">
        <v>153</v>
      </c>
      <c r="E76" s="5" t="s">
        <v>154</v>
      </c>
      <c r="F76" s="5" t="s">
        <v>41</v>
      </c>
      <c r="G76" s="5">
        <v>10</v>
      </c>
      <c r="H76" s="5">
        <v>45</v>
      </c>
      <c r="I76" s="6">
        <v>10</v>
      </c>
      <c r="J76" s="5">
        <f t="shared" ca="1" si="2"/>
        <v>877</v>
      </c>
      <c r="K76" s="5">
        <f t="shared" ca="1" si="3"/>
        <v>497</v>
      </c>
    </row>
    <row r="77" spans="4:11" ht="15" thickBot="1" x14ac:dyDescent="0.35">
      <c r="D77" s="4" t="s">
        <v>155</v>
      </c>
      <c r="E77" s="5" t="s">
        <v>156</v>
      </c>
      <c r="F77" s="5" t="s">
        <v>41</v>
      </c>
      <c r="G77" s="5">
        <v>40</v>
      </c>
      <c r="H77" s="5">
        <v>150</v>
      </c>
      <c r="I77" s="6">
        <v>30</v>
      </c>
      <c r="J77" s="5">
        <f t="shared" ca="1" si="2"/>
        <v>707</v>
      </c>
      <c r="K77" s="5">
        <f t="shared" ca="1" si="3"/>
        <v>342</v>
      </c>
    </row>
    <row r="78" spans="4:11" ht="15" thickBot="1" x14ac:dyDescent="0.35">
      <c r="D78" s="4" t="s">
        <v>157</v>
      </c>
      <c r="E78" s="5" t="s">
        <v>158</v>
      </c>
      <c r="F78" s="5" t="s">
        <v>41</v>
      </c>
      <c r="G78" s="5">
        <v>20</v>
      </c>
      <c r="H78" s="5">
        <v>100</v>
      </c>
      <c r="I78" s="6">
        <v>25</v>
      </c>
      <c r="J78" s="5">
        <f t="shared" ca="1" si="2"/>
        <v>683</v>
      </c>
      <c r="K78" s="5">
        <f t="shared" ca="1" si="3"/>
        <v>284</v>
      </c>
    </row>
    <row r="79" spans="4:11" ht="15" thickBot="1" x14ac:dyDescent="0.35">
      <c r="D79" s="4" t="s">
        <v>159</v>
      </c>
      <c r="E79" s="5" t="s">
        <v>160</v>
      </c>
      <c r="F79" s="5" t="s">
        <v>41</v>
      </c>
      <c r="G79" s="5">
        <v>100</v>
      </c>
      <c r="H79" s="5">
        <v>500</v>
      </c>
      <c r="I79" s="6">
        <v>100</v>
      </c>
      <c r="J79" s="5">
        <f t="shared" ca="1" si="2"/>
        <v>526</v>
      </c>
      <c r="K79" s="5">
        <f t="shared" ca="1" si="3"/>
        <v>398</v>
      </c>
    </row>
    <row r="80" spans="4:11" ht="15" thickBot="1" x14ac:dyDescent="0.35">
      <c r="D80" s="4" t="s">
        <v>161</v>
      </c>
      <c r="E80" s="5" t="s">
        <v>162</v>
      </c>
      <c r="F80" s="5" t="s">
        <v>41</v>
      </c>
      <c r="G80" s="5">
        <v>5</v>
      </c>
      <c r="H80" s="5">
        <v>20</v>
      </c>
      <c r="I80" s="6">
        <v>5</v>
      </c>
      <c r="J80" s="5">
        <f t="shared" ca="1" si="2"/>
        <v>658</v>
      </c>
      <c r="K80" s="5">
        <f t="shared" ca="1" si="3"/>
        <v>326</v>
      </c>
    </row>
    <row r="81" spans="4:11" ht="15" thickBot="1" x14ac:dyDescent="0.35">
      <c r="D81" s="4" t="s">
        <v>163</v>
      </c>
      <c r="E81" s="5" t="s">
        <v>164</v>
      </c>
      <c r="F81" s="5" t="s">
        <v>41</v>
      </c>
      <c r="G81" s="5">
        <v>12</v>
      </c>
      <c r="H81" s="5">
        <v>50</v>
      </c>
      <c r="I81" s="6">
        <v>10</v>
      </c>
      <c r="J81" s="5">
        <f t="shared" ca="1" si="2"/>
        <v>956</v>
      </c>
      <c r="K81" s="5">
        <f t="shared" ca="1" si="3"/>
        <v>328</v>
      </c>
    </row>
    <row r="82" spans="4:11" ht="15" thickBot="1" x14ac:dyDescent="0.35">
      <c r="D82" s="4" t="s">
        <v>165</v>
      </c>
      <c r="E82" s="5" t="s">
        <v>166</v>
      </c>
      <c r="F82" s="5" t="s">
        <v>41</v>
      </c>
      <c r="G82" s="5">
        <v>6</v>
      </c>
      <c r="H82" s="5">
        <v>25</v>
      </c>
      <c r="I82" s="6">
        <v>8</v>
      </c>
      <c r="J82" s="5">
        <f t="shared" ca="1" si="2"/>
        <v>541</v>
      </c>
      <c r="K82" s="5">
        <f t="shared" ca="1" si="3"/>
        <v>298</v>
      </c>
    </row>
    <row r="83" spans="4:11" ht="15" thickBot="1" x14ac:dyDescent="0.35">
      <c r="D83" s="4" t="s">
        <v>167</v>
      </c>
      <c r="E83" s="5" t="s">
        <v>168</v>
      </c>
      <c r="F83" s="5" t="s">
        <v>41</v>
      </c>
      <c r="G83" s="5">
        <v>100</v>
      </c>
      <c r="H83" s="5">
        <v>400</v>
      </c>
      <c r="I83" s="6">
        <v>80</v>
      </c>
      <c r="J83" s="5">
        <f t="shared" ca="1" si="2"/>
        <v>593</v>
      </c>
      <c r="K83" s="5">
        <f t="shared" ca="1" si="3"/>
        <v>340</v>
      </c>
    </row>
    <row r="84" spans="4:11" ht="15" thickBot="1" x14ac:dyDescent="0.35">
      <c r="D84" s="4" t="s">
        <v>169</v>
      </c>
      <c r="E84" s="5" t="s">
        <v>170</v>
      </c>
      <c r="F84" s="5" t="s">
        <v>41</v>
      </c>
      <c r="G84" s="5">
        <v>50</v>
      </c>
      <c r="H84" s="5">
        <v>200</v>
      </c>
      <c r="I84" s="6">
        <v>40</v>
      </c>
      <c r="J84" s="5">
        <f t="shared" ca="1" si="2"/>
        <v>875</v>
      </c>
      <c r="K84" s="5">
        <f t="shared" ca="1" si="3"/>
        <v>370</v>
      </c>
    </row>
    <row r="85" spans="4:11" ht="15" thickBot="1" x14ac:dyDescent="0.35">
      <c r="D85" s="4" t="s">
        <v>171</v>
      </c>
      <c r="E85" s="5" t="s">
        <v>172</v>
      </c>
      <c r="F85" s="5" t="s">
        <v>41</v>
      </c>
      <c r="G85" s="5">
        <v>8</v>
      </c>
      <c r="H85" s="5">
        <v>30</v>
      </c>
      <c r="I85" s="6">
        <v>5</v>
      </c>
      <c r="J85" s="5">
        <f t="shared" ca="1" si="2"/>
        <v>845</v>
      </c>
      <c r="K85" s="5">
        <f t="shared" ca="1" si="3"/>
        <v>403</v>
      </c>
    </row>
    <row r="86" spans="4:11" ht="15" thickBot="1" x14ac:dyDescent="0.35">
      <c r="D86" s="4" t="s">
        <v>173</v>
      </c>
      <c r="E86" s="5" t="s">
        <v>174</v>
      </c>
      <c r="F86" s="5" t="s">
        <v>38</v>
      </c>
      <c r="G86" s="5">
        <v>60</v>
      </c>
      <c r="H86" s="5">
        <v>200</v>
      </c>
      <c r="I86" s="6">
        <v>40</v>
      </c>
      <c r="J86" s="5">
        <f t="shared" ca="1" si="2"/>
        <v>504</v>
      </c>
      <c r="K86" s="5">
        <f t="shared" ca="1" si="3"/>
        <v>398</v>
      </c>
    </row>
    <row r="87" spans="4:11" ht="15" thickBot="1" x14ac:dyDescent="0.35">
      <c r="D87" s="4" t="s">
        <v>175</v>
      </c>
      <c r="E87" s="5" t="s">
        <v>176</v>
      </c>
      <c r="F87" s="5" t="s">
        <v>38</v>
      </c>
      <c r="G87" s="5">
        <v>90</v>
      </c>
      <c r="H87" s="5">
        <v>300</v>
      </c>
      <c r="I87" s="6">
        <v>60</v>
      </c>
      <c r="J87" s="5">
        <f t="shared" ca="1" si="2"/>
        <v>951</v>
      </c>
      <c r="K87" s="5">
        <f t="shared" ca="1" si="3"/>
        <v>459</v>
      </c>
    </row>
    <row r="88" spans="4:11" ht="15" thickBot="1" x14ac:dyDescent="0.35">
      <c r="D88" s="4" t="s">
        <v>177</v>
      </c>
      <c r="E88" s="5" t="s">
        <v>178</v>
      </c>
      <c r="F88" s="5" t="s">
        <v>38</v>
      </c>
      <c r="G88" s="5">
        <v>150</v>
      </c>
      <c r="H88" s="5">
        <v>450</v>
      </c>
      <c r="I88" s="6">
        <v>100</v>
      </c>
      <c r="J88" s="5">
        <f t="shared" ca="1" si="2"/>
        <v>884</v>
      </c>
      <c r="K88" s="5">
        <f t="shared" ca="1" si="3"/>
        <v>374</v>
      </c>
    </row>
    <row r="89" spans="4:11" ht="15" thickBot="1" x14ac:dyDescent="0.35">
      <c r="D89" s="4" t="s">
        <v>179</v>
      </c>
      <c r="E89" s="5" t="s">
        <v>180</v>
      </c>
      <c r="F89" s="5" t="s">
        <v>38</v>
      </c>
      <c r="G89" s="5">
        <v>80</v>
      </c>
      <c r="H89" s="5">
        <v>300</v>
      </c>
      <c r="I89" s="6">
        <v>50</v>
      </c>
      <c r="J89" s="5">
        <f t="shared" ca="1" si="2"/>
        <v>532</v>
      </c>
      <c r="K89" s="5">
        <f t="shared" ca="1" si="3"/>
        <v>294</v>
      </c>
    </row>
    <row r="90" spans="4:11" ht="15" thickBot="1" x14ac:dyDescent="0.35">
      <c r="D90" s="4" t="s">
        <v>181</v>
      </c>
      <c r="E90" s="5" t="s">
        <v>182</v>
      </c>
      <c r="F90" s="5" t="s">
        <v>38</v>
      </c>
      <c r="G90" s="5">
        <v>40</v>
      </c>
      <c r="H90" s="5">
        <v>150</v>
      </c>
      <c r="I90" s="6">
        <v>30</v>
      </c>
      <c r="J90" s="5">
        <f t="shared" ca="1" si="2"/>
        <v>665</v>
      </c>
      <c r="K90" s="5">
        <f t="shared" ca="1" si="3"/>
        <v>369</v>
      </c>
    </row>
    <row r="91" spans="4:11" ht="15" thickBot="1" x14ac:dyDescent="0.35">
      <c r="D91" s="4" t="s">
        <v>183</v>
      </c>
      <c r="E91" s="5" t="s">
        <v>184</v>
      </c>
      <c r="F91" s="5" t="s">
        <v>41</v>
      </c>
      <c r="G91" s="5">
        <v>30</v>
      </c>
      <c r="H91" s="5">
        <v>120</v>
      </c>
      <c r="I91" s="6">
        <v>25</v>
      </c>
      <c r="J91" s="5">
        <f t="shared" ca="1" si="2"/>
        <v>522</v>
      </c>
      <c r="K91" s="5">
        <f t="shared" ca="1" si="3"/>
        <v>294</v>
      </c>
    </row>
    <row r="92" spans="4:11" ht="15" thickBot="1" x14ac:dyDescent="0.35">
      <c r="D92" s="4" t="s">
        <v>185</v>
      </c>
      <c r="E92" s="5" t="s">
        <v>186</v>
      </c>
      <c r="F92" s="5" t="s">
        <v>41</v>
      </c>
      <c r="G92" s="5">
        <v>25</v>
      </c>
      <c r="H92" s="5">
        <v>100</v>
      </c>
      <c r="I92" s="6">
        <v>20</v>
      </c>
      <c r="J92" s="5">
        <f t="shared" ca="1" si="2"/>
        <v>866</v>
      </c>
      <c r="K92" s="5">
        <f t="shared" ca="1" si="3"/>
        <v>339</v>
      </c>
    </row>
    <row r="93" spans="4:11" ht="15" thickBot="1" x14ac:dyDescent="0.35">
      <c r="D93" s="4" t="s">
        <v>187</v>
      </c>
      <c r="E93" s="5" t="s">
        <v>188</v>
      </c>
      <c r="F93" s="5" t="s">
        <v>41</v>
      </c>
      <c r="G93" s="5">
        <v>50</v>
      </c>
      <c r="H93" s="5">
        <v>200</v>
      </c>
      <c r="I93" s="6">
        <v>40</v>
      </c>
      <c r="J93" s="5">
        <f t="shared" ca="1" si="2"/>
        <v>687</v>
      </c>
      <c r="K93" s="5">
        <f t="shared" ca="1" si="3"/>
        <v>278</v>
      </c>
    </row>
    <row r="94" spans="4:11" ht="15" thickBot="1" x14ac:dyDescent="0.35">
      <c r="D94" s="4" t="s">
        <v>189</v>
      </c>
      <c r="E94" s="5" t="s">
        <v>190</v>
      </c>
      <c r="F94" s="5" t="s">
        <v>40</v>
      </c>
      <c r="G94" s="5">
        <v>200</v>
      </c>
      <c r="H94" s="5">
        <v>600</v>
      </c>
      <c r="I94" s="6">
        <v>150</v>
      </c>
      <c r="J94" s="5">
        <f t="shared" ca="1" si="2"/>
        <v>523</v>
      </c>
      <c r="K94" s="5">
        <f t="shared" ca="1" si="3"/>
        <v>480</v>
      </c>
    </row>
    <row r="95" spans="4:11" ht="15" thickBot="1" x14ac:dyDescent="0.35">
      <c r="D95" s="4" t="s">
        <v>191</v>
      </c>
      <c r="E95" s="5" t="s">
        <v>192</v>
      </c>
      <c r="F95" s="5" t="s">
        <v>40</v>
      </c>
      <c r="G95" s="5">
        <v>120</v>
      </c>
      <c r="H95" s="5">
        <v>400</v>
      </c>
      <c r="I95" s="6">
        <v>80</v>
      </c>
      <c r="J95" s="5">
        <f t="shared" ca="1" si="2"/>
        <v>519</v>
      </c>
      <c r="K95" s="5">
        <f t="shared" ca="1" si="3"/>
        <v>457</v>
      </c>
    </row>
    <row r="96" spans="4:11" ht="15" thickBot="1" x14ac:dyDescent="0.35">
      <c r="D96" s="4" t="s">
        <v>193</v>
      </c>
      <c r="E96" s="5" t="s">
        <v>194</v>
      </c>
      <c r="F96" s="5" t="s">
        <v>45</v>
      </c>
      <c r="G96" s="5">
        <v>500</v>
      </c>
      <c r="H96" s="5">
        <v>2000</v>
      </c>
      <c r="I96" s="6">
        <v>400</v>
      </c>
      <c r="J96" s="5">
        <f t="shared" ca="1" si="2"/>
        <v>573</v>
      </c>
      <c r="K96" s="5">
        <f t="shared" ca="1" si="3"/>
        <v>435</v>
      </c>
    </row>
    <row r="97" spans="4:11" ht="15" thickBot="1" x14ac:dyDescent="0.35">
      <c r="D97" s="4" t="s">
        <v>195</v>
      </c>
      <c r="E97" s="5" t="s">
        <v>196</v>
      </c>
      <c r="F97" s="5" t="s">
        <v>45</v>
      </c>
      <c r="G97" s="5">
        <v>5000</v>
      </c>
      <c r="H97" s="5">
        <v>20000</v>
      </c>
      <c r="I97" s="6">
        <v>3000</v>
      </c>
      <c r="J97" s="5">
        <f t="shared" ca="1" si="2"/>
        <v>648</v>
      </c>
      <c r="K97" s="5">
        <f t="shared" ca="1" si="3"/>
        <v>440</v>
      </c>
    </row>
    <row r="98" spans="4:11" ht="15" thickBot="1" x14ac:dyDescent="0.35">
      <c r="D98" s="4" t="s">
        <v>197</v>
      </c>
      <c r="E98" s="5" t="s">
        <v>198</v>
      </c>
      <c r="F98" s="5" t="s">
        <v>45</v>
      </c>
      <c r="G98" s="5">
        <v>40</v>
      </c>
      <c r="H98" s="5">
        <v>150</v>
      </c>
      <c r="I98" s="6">
        <v>30</v>
      </c>
      <c r="J98" s="5">
        <f t="shared" ca="1" si="2"/>
        <v>903</v>
      </c>
      <c r="K98" s="5">
        <f t="shared" ca="1" si="3"/>
        <v>422</v>
      </c>
    </row>
    <row r="99" spans="4:11" ht="15" thickBot="1" x14ac:dyDescent="0.35">
      <c r="D99" s="4" t="s">
        <v>199</v>
      </c>
      <c r="E99" s="5" t="s">
        <v>200</v>
      </c>
      <c r="F99" s="5" t="s">
        <v>38</v>
      </c>
      <c r="G99" s="5">
        <v>20</v>
      </c>
      <c r="H99" s="5">
        <v>100</v>
      </c>
      <c r="I99" s="6">
        <v>15</v>
      </c>
      <c r="J99" s="5">
        <f t="shared" ca="1" si="2"/>
        <v>615</v>
      </c>
      <c r="K99" s="5">
        <f t="shared" ca="1" si="3"/>
        <v>313</v>
      </c>
    </row>
    <row r="100" spans="4:11" ht="15" thickBot="1" x14ac:dyDescent="0.35">
      <c r="D100" s="4" t="s">
        <v>201</v>
      </c>
      <c r="E100" s="5" t="s">
        <v>202</v>
      </c>
      <c r="F100" s="5" t="s">
        <v>40</v>
      </c>
      <c r="G100" s="5">
        <v>150</v>
      </c>
      <c r="H100" s="5">
        <v>500</v>
      </c>
      <c r="I100" s="6">
        <v>100</v>
      </c>
      <c r="J100" s="5">
        <f t="shared" ca="1" si="2"/>
        <v>811</v>
      </c>
      <c r="K100" s="5">
        <f t="shared" ca="1" si="3"/>
        <v>379</v>
      </c>
    </row>
    <row r="101" spans="4:11" ht="15" thickBot="1" x14ac:dyDescent="0.35">
      <c r="D101" s="4" t="s">
        <v>203</v>
      </c>
      <c r="E101" s="5" t="s">
        <v>204</v>
      </c>
      <c r="F101" s="5" t="s">
        <v>41</v>
      </c>
      <c r="G101" s="5">
        <v>10</v>
      </c>
      <c r="H101" s="5">
        <v>40</v>
      </c>
      <c r="I101" s="6">
        <v>10</v>
      </c>
      <c r="J101" s="5">
        <f t="shared" ca="1" si="2"/>
        <v>889</v>
      </c>
      <c r="K101" s="5">
        <f t="shared" ca="1" si="3"/>
        <v>441</v>
      </c>
    </row>
    <row r="102" spans="4:11" ht="15" thickBot="1" x14ac:dyDescent="0.35">
      <c r="D102" s="4" t="s">
        <v>205</v>
      </c>
      <c r="E102" s="5" t="s">
        <v>206</v>
      </c>
      <c r="F102" s="5" t="s">
        <v>41</v>
      </c>
      <c r="G102" s="5">
        <v>4</v>
      </c>
      <c r="H102" s="5">
        <v>15</v>
      </c>
      <c r="I102" s="6">
        <v>5</v>
      </c>
      <c r="J102" s="5">
        <f t="shared" ca="1" si="2"/>
        <v>549</v>
      </c>
      <c r="K102" s="5">
        <f t="shared" ca="1" si="3"/>
        <v>417</v>
      </c>
    </row>
    <row r="103" spans="4:11" ht="15" thickBot="1" x14ac:dyDescent="0.35">
      <c r="D103" s="4" t="s">
        <v>207</v>
      </c>
      <c r="E103" s="5" t="s">
        <v>208</v>
      </c>
      <c r="F103" s="5" t="s">
        <v>41</v>
      </c>
      <c r="G103" s="5">
        <v>6</v>
      </c>
      <c r="H103" s="5">
        <v>25</v>
      </c>
      <c r="I103" s="6">
        <v>6</v>
      </c>
      <c r="J103" s="5">
        <f t="shared" ca="1" si="2"/>
        <v>725</v>
      </c>
      <c r="K103" s="5">
        <f t="shared" ca="1" si="3"/>
        <v>431</v>
      </c>
    </row>
    <row r="104" spans="4:11" ht="15" thickBot="1" x14ac:dyDescent="0.35">
      <c r="D104" s="4" t="s">
        <v>209</v>
      </c>
      <c r="E104" s="5" t="s">
        <v>210</v>
      </c>
      <c r="F104" s="5" t="s">
        <v>41</v>
      </c>
      <c r="G104" s="5">
        <v>8</v>
      </c>
      <c r="H104" s="5">
        <v>30</v>
      </c>
      <c r="I104" s="6">
        <v>8</v>
      </c>
      <c r="J104" s="5">
        <f t="shared" ca="1" si="2"/>
        <v>578</v>
      </c>
      <c r="K104" s="5">
        <f t="shared" ca="1" si="3"/>
        <v>480</v>
      </c>
    </row>
    <row r="105" spans="4:11" x14ac:dyDescent="0.3">
      <c r="D105" s="8" t="s">
        <v>211</v>
      </c>
      <c r="E105" s="9" t="s">
        <v>212</v>
      </c>
      <c r="F105" s="9" t="s">
        <v>42</v>
      </c>
      <c r="G105" s="9">
        <v>40</v>
      </c>
      <c r="H105" s="9">
        <v>150</v>
      </c>
      <c r="I105" s="10">
        <v>30</v>
      </c>
      <c r="J105" s="9">
        <f t="shared" ca="1" si="2"/>
        <v>660</v>
      </c>
      <c r="K105" s="9">
        <f t="shared" ca="1" si="3"/>
        <v>315</v>
      </c>
    </row>
  </sheetData>
  <mergeCells count="1">
    <mergeCell ref="E3:G4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217B7-606A-4C0E-A643-009F60FC3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Table1__2</vt:lpstr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2025-12-31T01:38:43Z</dcterms:created>
  <dcterms:modified xsi:type="dcterms:W3CDTF">2026-02-27T04:45:35Z</dcterms:modified>
</cp:coreProperties>
</file>