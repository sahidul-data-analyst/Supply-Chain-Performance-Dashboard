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IS Supply Chain Monitoring\"/>
    </mc:Choice>
  </mc:AlternateContent>
  <xr:revisionPtr revIDLastSave="0" documentId="13_ncr:1_{AF484AB3-D906-4DC2-8C85-5D3C67A4540C}" xr6:coauthVersionLast="47" xr6:coauthVersionMax="47" xr10:uidLastSave="{00000000-0000-0000-0000-000000000000}"/>
  <bookViews>
    <workbookView xWindow="-108" yWindow="-108" windowWidth="23256" windowHeight="12576" activeTab="1" xr2:uid="{B45909D1-7F2F-4D6D-B65E-106B445B39EE}"/>
  </bookViews>
  <sheets>
    <sheet name="Sheet4" sheetId="5" r:id="rId1"/>
    <sheet name="Sheet1" sheetId="2" r:id="rId2"/>
  </sheets>
  <calcPr calcId="191029"/>
  <pivotCaches>
    <pivotCache cacheId="16" r:id="rId3"/>
  </pivotCaches>
</workbook>
</file>

<file path=xl/calcChain.xml><?xml version="1.0" encoding="utf-8"?>
<calcChain xmlns="http://schemas.openxmlformats.org/spreadsheetml/2006/main">
  <c r="L21" i="2" l="1"/>
  <c r="L20" i="2"/>
  <c r="L19" i="2"/>
  <c r="L18" i="2"/>
  <c r="L17" i="2"/>
  <c r="L16" i="2"/>
  <c r="L15" i="2"/>
  <c r="L14" i="2"/>
  <c r="L13" i="2"/>
  <c r="N4" i="2"/>
  <c r="M4" i="2"/>
  <c r="L4" i="2"/>
  <c r="F4" i="2"/>
  <c r="O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H4" i="2" l="1"/>
  <c r="Q4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G10" i="2"/>
  <c r="G4" i="2"/>
  <c r="P4" i="2" s="1"/>
  <c r="G5" i="2"/>
  <c r="G6" i="2"/>
  <c r="G7" i="2"/>
  <c r="G8" i="2"/>
  <c r="G9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</calcChain>
</file>

<file path=xl/sharedStrings.xml><?xml version="1.0" encoding="utf-8"?>
<sst xmlns="http://schemas.openxmlformats.org/spreadsheetml/2006/main" count="2439" uniqueCount="446">
  <si>
    <t>Defective Units</t>
  </si>
  <si>
    <t>Total Unit</t>
  </si>
  <si>
    <t>Shipping Cost ($)</t>
  </si>
  <si>
    <t>Defect Rate</t>
  </si>
  <si>
    <t>Defect Rate Status</t>
  </si>
  <si>
    <t>Shipping Cost ($)Status</t>
  </si>
  <si>
    <t>Low Risk</t>
  </si>
  <si>
    <t>Economical</t>
  </si>
  <si>
    <t>Low Cost</t>
  </si>
  <si>
    <t>Expensive</t>
  </si>
  <si>
    <t>Medium Risk</t>
  </si>
  <si>
    <t>High Risk</t>
  </si>
  <si>
    <t>Supply Chain Management Data</t>
  </si>
  <si>
    <t>Broken Stitch</t>
  </si>
  <si>
    <t>Stain</t>
  </si>
  <si>
    <t>Hole</t>
  </si>
  <si>
    <t>Puckering</t>
  </si>
  <si>
    <t>Needle Mark</t>
  </si>
  <si>
    <t>Raw Edge</t>
  </si>
  <si>
    <t>Joint Stitch</t>
  </si>
  <si>
    <t>Skip Stain</t>
  </si>
  <si>
    <t>Oil Stain</t>
  </si>
  <si>
    <t>Defect Type</t>
  </si>
  <si>
    <t>Shift(day/night)</t>
  </si>
  <si>
    <t>Day</t>
  </si>
  <si>
    <t>Night</t>
  </si>
  <si>
    <t>Production Line Id</t>
  </si>
  <si>
    <t>SL-101</t>
  </si>
  <si>
    <t>SL-102</t>
  </si>
  <si>
    <t>SL-103</t>
  </si>
  <si>
    <t>SL-104</t>
  </si>
  <si>
    <t>SL-105</t>
  </si>
  <si>
    <t>SL-106</t>
  </si>
  <si>
    <t>SL-107</t>
  </si>
  <si>
    <t>SL-108</t>
  </si>
  <si>
    <t>SL-109</t>
  </si>
  <si>
    <t>SL-110</t>
  </si>
  <si>
    <t>SL-111</t>
  </si>
  <si>
    <t>SL-112</t>
  </si>
  <si>
    <t>SL-113</t>
  </si>
  <si>
    <t>SL-114</t>
  </si>
  <si>
    <t>SL-115</t>
  </si>
  <si>
    <t>SL-116</t>
  </si>
  <si>
    <t>SL-117</t>
  </si>
  <si>
    <t>SL-118</t>
  </si>
  <si>
    <t>SL-119</t>
  </si>
  <si>
    <t>SL-120</t>
  </si>
  <si>
    <t>SL-121</t>
  </si>
  <si>
    <t>SL-122</t>
  </si>
  <si>
    <t>SL-123</t>
  </si>
  <si>
    <t>SL-124</t>
  </si>
  <si>
    <t>SL-125</t>
  </si>
  <si>
    <t>SL-126</t>
  </si>
  <si>
    <t>SL-127</t>
  </si>
  <si>
    <t>SL-128</t>
  </si>
  <si>
    <t>SL-129</t>
  </si>
  <si>
    <t>SL-130</t>
  </si>
  <si>
    <t>SL-131</t>
  </si>
  <si>
    <t>SL-132</t>
  </si>
  <si>
    <t>SL-133</t>
  </si>
  <si>
    <t>SL-134</t>
  </si>
  <si>
    <t>SL-135</t>
  </si>
  <si>
    <t>SL-136</t>
  </si>
  <si>
    <t>SL-137</t>
  </si>
  <si>
    <t>SL-138</t>
  </si>
  <si>
    <t>SL-139</t>
  </si>
  <si>
    <t>SL-140</t>
  </si>
  <si>
    <t>SL-141</t>
  </si>
  <si>
    <t>SL-142</t>
  </si>
  <si>
    <t>SL-143</t>
  </si>
  <si>
    <t>SL-144</t>
  </si>
  <si>
    <t>SL-145</t>
  </si>
  <si>
    <t>SL-146</t>
  </si>
  <si>
    <t>SL-147</t>
  </si>
  <si>
    <t>SL-148</t>
  </si>
  <si>
    <t>SL-149</t>
  </si>
  <si>
    <t>SL-150</t>
  </si>
  <si>
    <t>SL-151</t>
  </si>
  <si>
    <t>SL-152</t>
  </si>
  <si>
    <t>SL-153</t>
  </si>
  <si>
    <t>SL-154</t>
  </si>
  <si>
    <t>SL-155</t>
  </si>
  <si>
    <t>SL-156</t>
  </si>
  <si>
    <t>SL-157</t>
  </si>
  <si>
    <t>SL-158</t>
  </si>
  <si>
    <t>SL-159</t>
  </si>
  <si>
    <t>SL-160</t>
  </si>
  <si>
    <t>SL-161</t>
  </si>
  <si>
    <t>SL-162</t>
  </si>
  <si>
    <t>SL-163</t>
  </si>
  <si>
    <t>SL-164</t>
  </si>
  <si>
    <t>SL-165</t>
  </si>
  <si>
    <t>SL-166</t>
  </si>
  <si>
    <t>SL-167</t>
  </si>
  <si>
    <t>SL-168</t>
  </si>
  <si>
    <t>SL-169</t>
  </si>
  <si>
    <t>SL-170</t>
  </si>
  <si>
    <t>SL-171</t>
  </si>
  <si>
    <t>SL-172</t>
  </si>
  <si>
    <t>SL-173</t>
  </si>
  <si>
    <t>SL-174</t>
  </si>
  <si>
    <t>SL-175</t>
  </si>
  <si>
    <t>SL-176</t>
  </si>
  <si>
    <t>SL-177</t>
  </si>
  <si>
    <t>SL-178</t>
  </si>
  <si>
    <t>SL-179</t>
  </si>
  <si>
    <t>SL-180</t>
  </si>
  <si>
    <t>SL-181</t>
  </si>
  <si>
    <t>SL-182</t>
  </si>
  <si>
    <t>SL-183</t>
  </si>
  <si>
    <t>SL-184</t>
  </si>
  <si>
    <t>SL-185</t>
  </si>
  <si>
    <t>SL-186</t>
  </si>
  <si>
    <t>SL-187</t>
  </si>
  <si>
    <t>SL-188</t>
  </si>
  <si>
    <t>SL-189</t>
  </si>
  <si>
    <t>SL-190</t>
  </si>
  <si>
    <t>SL-191</t>
  </si>
  <si>
    <t>SL-192</t>
  </si>
  <si>
    <t>SL-193</t>
  </si>
  <si>
    <t>SL-194</t>
  </si>
  <si>
    <t>SL-195</t>
  </si>
  <si>
    <t>SL-196</t>
  </si>
  <si>
    <t>SL-197</t>
  </si>
  <si>
    <t>SL-198</t>
  </si>
  <si>
    <t>SL-199</t>
  </si>
  <si>
    <t>SL-200</t>
  </si>
  <si>
    <t>SL-201</t>
  </si>
  <si>
    <t>SL-202</t>
  </si>
  <si>
    <t>SL-203</t>
  </si>
  <si>
    <t>SL-204</t>
  </si>
  <si>
    <t>SL-205</t>
  </si>
  <si>
    <t>SL-206</t>
  </si>
  <si>
    <t>SL-207</t>
  </si>
  <si>
    <t>SL-208</t>
  </si>
  <si>
    <t>SL-209</t>
  </si>
  <si>
    <t>SL-210</t>
  </si>
  <si>
    <t>SL-211</t>
  </si>
  <si>
    <t>SL-212</t>
  </si>
  <si>
    <t>SL-213</t>
  </si>
  <si>
    <t>SL-214</t>
  </si>
  <si>
    <t>SL-215</t>
  </si>
  <si>
    <t>SL-216</t>
  </si>
  <si>
    <t>SL-217</t>
  </si>
  <si>
    <t>SL-218</t>
  </si>
  <si>
    <t>SL-219</t>
  </si>
  <si>
    <t>SL-220</t>
  </si>
  <si>
    <t>SL-221</t>
  </si>
  <si>
    <t>SL-222</t>
  </si>
  <si>
    <t>SL-223</t>
  </si>
  <si>
    <t>SL-224</t>
  </si>
  <si>
    <t>SL-225</t>
  </si>
  <si>
    <t>SL-226</t>
  </si>
  <si>
    <t>SL-227</t>
  </si>
  <si>
    <t>SL-228</t>
  </si>
  <si>
    <t>SL-229</t>
  </si>
  <si>
    <t>SL-230</t>
  </si>
  <si>
    <t>SL-231</t>
  </si>
  <si>
    <t>SL-232</t>
  </si>
  <si>
    <t>SL-233</t>
  </si>
  <si>
    <t>SL-234</t>
  </si>
  <si>
    <t>SL-235</t>
  </si>
  <si>
    <t>SL-236</t>
  </si>
  <si>
    <t>SL-237</t>
  </si>
  <si>
    <t>SL-238</t>
  </si>
  <si>
    <t>SL-239</t>
  </si>
  <si>
    <t>SL-240</t>
  </si>
  <si>
    <t>SL-241</t>
  </si>
  <si>
    <t>SL-242</t>
  </si>
  <si>
    <t>SL-243</t>
  </si>
  <si>
    <t>SL-244</t>
  </si>
  <si>
    <t>SL-245</t>
  </si>
  <si>
    <t>SL-246</t>
  </si>
  <si>
    <t>SL-247</t>
  </si>
  <si>
    <t>SL-248</t>
  </si>
  <si>
    <t>SL-249</t>
  </si>
  <si>
    <t>SL-250</t>
  </si>
  <si>
    <t>SL-251</t>
  </si>
  <si>
    <t>SL-252</t>
  </si>
  <si>
    <t>SL-253</t>
  </si>
  <si>
    <t>SL-254</t>
  </si>
  <si>
    <t>SL-255</t>
  </si>
  <si>
    <t>SL-256</t>
  </si>
  <si>
    <t>SL-257</t>
  </si>
  <si>
    <t>SL-258</t>
  </si>
  <si>
    <t>SL-259</t>
  </si>
  <si>
    <t>SL-260</t>
  </si>
  <si>
    <t>SL-261</t>
  </si>
  <si>
    <t>SL-262</t>
  </si>
  <si>
    <t>SL-263</t>
  </si>
  <si>
    <t>SL-264</t>
  </si>
  <si>
    <t>SL-265</t>
  </si>
  <si>
    <t>SL-266</t>
  </si>
  <si>
    <t>SL-267</t>
  </si>
  <si>
    <t>SL-268</t>
  </si>
  <si>
    <t>SL-269</t>
  </si>
  <si>
    <t>SL-270</t>
  </si>
  <si>
    <t>SL-271</t>
  </si>
  <si>
    <t>SL-272</t>
  </si>
  <si>
    <t>SL-273</t>
  </si>
  <si>
    <t>SL-274</t>
  </si>
  <si>
    <t>SL-275</t>
  </si>
  <si>
    <t>SL-276</t>
  </si>
  <si>
    <t>SL-277</t>
  </si>
  <si>
    <t>SL-278</t>
  </si>
  <si>
    <t>SL-279</t>
  </si>
  <si>
    <t>SL-280</t>
  </si>
  <si>
    <t>SL-281</t>
  </si>
  <si>
    <t>SL-282</t>
  </si>
  <si>
    <t>SL-283</t>
  </si>
  <si>
    <t>SL-284</t>
  </si>
  <si>
    <t>SL-285</t>
  </si>
  <si>
    <t>SL-286</t>
  </si>
  <si>
    <t>SL-287</t>
  </si>
  <si>
    <t>SL-288</t>
  </si>
  <si>
    <t>SL-289</t>
  </si>
  <si>
    <t>SL-290</t>
  </si>
  <si>
    <t>SL-291</t>
  </si>
  <si>
    <t>SL-292</t>
  </si>
  <si>
    <t>SL-293</t>
  </si>
  <si>
    <t>SL-294</t>
  </si>
  <si>
    <t>SL-295</t>
  </si>
  <si>
    <t>SL-296</t>
  </si>
  <si>
    <t>SL-297</t>
  </si>
  <si>
    <t>SL-298</t>
  </si>
  <si>
    <t>SL-299</t>
  </si>
  <si>
    <t>SL-300</t>
  </si>
  <si>
    <t>Grand Total</t>
  </si>
  <si>
    <t>Sum of Defective Units</t>
  </si>
  <si>
    <t>Average of Defect Rate</t>
  </si>
  <si>
    <t>Sum of Shipping Cost ($)</t>
  </si>
  <si>
    <t>Sum of Total Unit</t>
  </si>
  <si>
    <t>Low Risk Total</t>
  </si>
  <si>
    <t>Broken Stitch Total</t>
  </si>
  <si>
    <t>Day Total</t>
  </si>
  <si>
    <t>SL-101 Total</t>
  </si>
  <si>
    <t>Stain Total</t>
  </si>
  <si>
    <t>Night Total</t>
  </si>
  <si>
    <t>SL-102 Total</t>
  </si>
  <si>
    <t>Hole Total</t>
  </si>
  <si>
    <t>SL-103 Total</t>
  </si>
  <si>
    <t>Puckering Total</t>
  </si>
  <si>
    <t>SL-104 Total</t>
  </si>
  <si>
    <t>Needle Mark Total</t>
  </si>
  <si>
    <t>SL-105 Total</t>
  </si>
  <si>
    <t>Skip Stain Total</t>
  </si>
  <si>
    <t>SL-106 Total</t>
  </si>
  <si>
    <t>Raw Edge Total</t>
  </si>
  <si>
    <t>SL-107 Total</t>
  </si>
  <si>
    <t>Joint Stitch Total</t>
  </si>
  <si>
    <t>SL-108 Total</t>
  </si>
  <si>
    <t>Oil Stain Total</t>
  </si>
  <si>
    <t>SL-109 Total</t>
  </si>
  <si>
    <t>SL-110 Total</t>
  </si>
  <si>
    <t>SL-111 Total</t>
  </si>
  <si>
    <t>SL-112 Total</t>
  </si>
  <si>
    <t>SL-113 Total</t>
  </si>
  <si>
    <t>SL-114 Total</t>
  </si>
  <si>
    <t>SL-115 Total</t>
  </si>
  <si>
    <t>SL-116 Total</t>
  </si>
  <si>
    <t>SL-117 Total</t>
  </si>
  <si>
    <t>SL-118 Total</t>
  </si>
  <si>
    <t>SL-119 Total</t>
  </si>
  <si>
    <t>SL-120 Total</t>
  </si>
  <si>
    <t>SL-121 Total</t>
  </si>
  <si>
    <t>SL-122 Total</t>
  </si>
  <si>
    <t>SL-123 Total</t>
  </si>
  <si>
    <t>SL-124 Total</t>
  </si>
  <si>
    <t>SL-125 Total</t>
  </si>
  <si>
    <t>Medium Risk Total</t>
  </si>
  <si>
    <t>SL-126 Total</t>
  </si>
  <si>
    <t>SL-127 Total</t>
  </si>
  <si>
    <t>SL-128 Total</t>
  </si>
  <si>
    <t>SL-129 Total</t>
  </si>
  <si>
    <t>SL-130 Total</t>
  </si>
  <si>
    <t>SL-131 Total</t>
  </si>
  <si>
    <t>SL-132 Total</t>
  </si>
  <si>
    <t>SL-133 Total</t>
  </si>
  <si>
    <t>SL-134 Total</t>
  </si>
  <si>
    <t>SL-135 Total</t>
  </si>
  <si>
    <t>SL-136 Total</t>
  </si>
  <si>
    <t>SL-137 Total</t>
  </si>
  <si>
    <t>SL-138 Total</t>
  </si>
  <si>
    <t>SL-139 Total</t>
  </si>
  <si>
    <t>SL-140 Total</t>
  </si>
  <si>
    <t>SL-141 Total</t>
  </si>
  <si>
    <t>SL-142 Total</t>
  </si>
  <si>
    <t>SL-143 Total</t>
  </si>
  <si>
    <t>SL-144 Total</t>
  </si>
  <si>
    <t>SL-145 Total</t>
  </si>
  <si>
    <t>High Risk Total</t>
  </si>
  <si>
    <t>SL-146 Total</t>
  </si>
  <si>
    <t>SL-147 Total</t>
  </si>
  <si>
    <t>SL-148 Total</t>
  </si>
  <si>
    <t>SL-149 Total</t>
  </si>
  <si>
    <t>SL-150 Total</t>
  </si>
  <si>
    <t>SL-151 Total</t>
  </si>
  <si>
    <t>SL-152 Total</t>
  </si>
  <si>
    <t>SL-153 Total</t>
  </si>
  <si>
    <t>SL-154 Total</t>
  </si>
  <si>
    <t>SL-155 Total</t>
  </si>
  <si>
    <t>SL-156 Total</t>
  </si>
  <si>
    <t>SL-157 Total</t>
  </si>
  <si>
    <t>SL-158 Total</t>
  </si>
  <si>
    <t>SL-159 Total</t>
  </si>
  <si>
    <t>SL-160 Total</t>
  </si>
  <si>
    <t>SL-161 Total</t>
  </si>
  <si>
    <t>SL-162 Total</t>
  </si>
  <si>
    <t>SL-163 Total</t>
  </si>
  <si>
    <t>SL-164 Total</t>
  </si>
  <si>
    <t>SL-165 Total</t>
  </si>
  <si>
    <t>SL-166 Total</t>
  </si>
  <si>
    <t>SL-167 Total</t>
  </si>
  <si>
    <t>SL-168 Total</t>
  </si>
  <si>
    <t>SL-169 Total</t>
  </si>
  <si>
    <t>SL-170 Total</t>
  </si>
  <si>
    <t>SL-171 Total</t>
  </si>
  <si>
    <t>SL-172 Total</t>
  </si>
  <si>
    <t>SL-173 Total</t>
  </si>
  <si>
    <t>SL-174 Total</t>
  </si>
  <si>
    <t>SL-175 Total</t>
  </si>
  <si>
    <t>SL-176 Total</t>
  </si>
  <si>
    <t>SL-177 Total</t>
  </si>
  <si>
    <t>SL-178 Total</t>
  </si>
  <si>
    <t>SL-179 Total</t>
  </si>
  <si>
    <t>SL-180 Total</t>
  </si>
  <si>
    <t>SL-181 Total</t>
  </si>
  <si>
    <t>SL-182 Total</t>
  </si>
  <si>
    <t>SL-183 Total</t>
  </si>
  <si>
    <t>SL-184 Total</t>
  </si>
  <si>
    <t>SL-185 Total</t>
  </si>
  <si>
    <t>SL-186 Total</t>
  </si>
  <si>
    <t>SL-187 Total</t>
  </si>
  <si>
    <t>SL-188 Total</t>
  </si>
  <si>
    <t>SL-189 Total</t>
  </si>
  <si>
    <t>SL-190 Total</t>
  </si>
  <si>
    <t>SL-191 Total</t>
  </si>
  <si>
    <t>SL-192 Total</t>
  </si>
  <si>
    <t>SL-193 Total</t>
  </si>
  <si>
    <t>SL-194 Total</t>
  </si>
  <si>
    <t>SL-195 Total</t>
  </si>
  <si>
    <t>SL-196 Total</t>
  </si>
  <si>
    <t>SL-197 Total</t>
  </si>
  <si>
    <t>SL-198 Total</t>
  </si>
  <si>
    <t>SL-199 Total</t>
  </si>
  <si>
    <t>SL-200 Total</t>
  </si>
  <si>
    <t>SL-201 Total</t>
  </si>
  <si>
    <t>SL-202 Total</t>
  </si>
  <si>
    <t>SL-203 Total</t>
  </si>
  <si>
    <t>SL-204 Total</t>
  </si>
  <si>
    <t>SL-205 Total</t>
  </si>
  <si>
    <t>SL-206 Total</t>
  </si>
  <si>
    <t>SL-207 Total</t>
  </si>
  <si>
    <t>SL-208 Total</t>
  </si>
  <si>
    <t>SL-209 Total</t>
  </si>
  <si>
    <t>SL-210 Total</t>
  </si>
  <si>
    <t>SL-211 Total</t>
  </si>
  <si>
    <t>SL-212 Total</t>
  </si>
  <si>
    <t>SL-213 Total</t>
  </si>
  <si>
    <t>SL-214 Total</t>
  </si>
  <si>
    <t>SL-215 Total</t>
  </si>
  <si>
    <t>SL-216 Total</t>
  </si>
  <si>
    <t>SL-217 Total</t>
  </si>
  <si>
    <t>SL-218 Total</t>
  </si>
  <si>
    <t>SL-219 Total</t>
  </si>
  <si>
    <t>SL-220 Total</t>
  </si>
  <si>
    <t>SL-221 Total</t>
  </si>
  <si>
    <t>SL-222 Total</t>
  </si>
  <si>
    <t>SL-223 Total</t>
  </si>
  <si>
    <t>SL-224 Total</t>
  </si>
  <si>
    <t>SL-225 Total</t>
  </si>
  <si>
    <t>SL-226 Total</t>
  </si>
  <si>
    <t>SL-227 Total</t>
  </si>
  <si>
    <t>SL-228 Total</t>
  </si>
  <si>
    <t>SL-229 Total</t>
  </si>
  <si>
    <t>SL-230 Total</t>
  </si>
  <si>
    <t>SL-231 Total</t>
  </si>
  <si>
    <t>SL-232 Total</t>
  </si>
  <si>
    <t>SL-233 Total</t>
  </si>
  <si>
    <t>SL-234 Total</t>
  </si>
  <si>
    <t>SL-235 Total</t>
  </si>
  <si>
    <t>SL-236 Total</t>
  </si>
  <si>
    <t>SL-237 Total</t>
  </si>
  <si>
    <t>SL-238 Total</t>
  </si>
  <si>
    <t>SL-239 Total</t>
  </si>
  <si>
    <t>SL-240 Total</t>
  </si>
  <si>
    <t>SL-241 Total</t>
  </si>
  <si>
    <t>SL-242 Total</t>
  </si>
  <si>
    <t>SL-243 Total</t>
  </si>
  <si>
    <t>SL-244 Total</t>
  </si>
  <si>
    <t>SL-245 Total</t>
  </si>
  <si>
    <t>SL-246 Total</t>
  </si>
  <si>
    <t>SL-247 Total</t>
  </si>
  <si>
    <t>SL-248 Total</t>
  </si>
  <si>
    <t>SL-249 Total</t>
  </si>
  <si>
    <t>SL-250 Total</t>
  </si>
  <si>
    <t>SL-251 Total</t>
  </si>
  <si>
    <t>SL-252 Total</t>
  </si>
  <si>
    <t>SL-253 Total</t>
  </si>
  <si>
    <t>SL-254 Total</t>
  </si>
  <si>
    <t>SL-255 Total</t>
  </si>
  <si>
    <t>SL-256 Total</t>
  </si>
  <si>
    <t>SL-257 Total</t>
  </si>
  <si>
    <t>SL-258 Total</t>
  </si>
  <si>
    <t>SL-259 Total</t>
  </si>
  <si>
    <t>SL-260 Total</t>
  </si>
  <si>
    <t>SL-261 Total</t>
  </si>
  <si>
    <t>SL-262 Total</t>
  </si>
  <si>
    <t>SL-263 Total</t>
  </si>
  <si>
    <t>SL-264 Total</t>
  </si>
  <si>
    <t>SL-265 Total</t>
  </si>
  <si>
    <t>SL-266 Total</t>
  </si>
  <si>
    <t>SL-267 Total</t>
  </si>
  <si>
    <t>SL-268 Total</t>
  </si>
  <si>
    <t>SL-269 Total</t>
  </si>
  <si>
    <t>SL-270 Total</t>
  </si>
  <si>
    <t>SL-271 Total</t>
  </si>
  <si>
    <t>SL-272 Total</t>
  </si>
  <si>
    <t>SL-273 Total</t>
  </si>
  <si>
    <t>SL-274 Total</t>
  </si>
  <si>
    <t>SL-275 Total</t>
  </si>
  <si>
    <t>SL-276 Total</t>
  </si>
  <si>
    <t>SL-277 Total</t>
  </si>
  <si>
    <t>SL-278 Total</t>
  </si>
  <si>
    <t>SL-279 Total</t>
  </si>
  <si>
    <t>SL-280 Total</t>
  </si>
  <si>
    <t>SL-281 Total</t>
  </si>
  <si>
    <t>SL-282 Total</t>
  </si>
  <si>
    <t>SL-283 Total</t>
  </si>
  <si>
    <t>SL-284 Total</t>
  </si>
  <si>
    <t>SL-285 Total</t>
  </si>
  <si>
    <t>SL-286 Total</t>
  </si>
  <si>
    <t>SL-287 Total</t>
  </si>
  <si>
    <t>SL-288 Total</t>
  </si>
  <si>
    <t>SL-289 Total</t>
  </si>
  <si>
    <t>SL-290 Total</t>
  </si>
  <si>
    <t>SL-291 Total</t>
  </si>
  <si>
    <t>SL-292 Total</t>
  </si>
  <si>
    <t>SL-293 Total</t>
  </si>
  <si>
    <t>SL-294 Total</t>
  </si>
  <si>
    <t>SL-295 Total</t>
  </si>
  <si>
    <t>SL-296 Total</t>
  </si>
  <si>
    <t>SL-297 Total</t>
  </si>
  <si>
    <t>SL-298 Total</t>
  </si>
  <si>
    <t>SL-299 Total</t>
  </si>
  <si>
    <t>SL-300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</si>
</sst>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42" applyFont="1" applyAlignment="1">
      <alignment horizontal="center" vertical="center"/>
    </xf>
    <xf numFmtId="9" fontId="0" fillId="0" borderId="0" xfId="42" applyFont="1"/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9" fontId="13" fillId="33" borderId="11" xfId="42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6" fillId="0" borderId="0" xfId="42" applyFont="1" applyAlignment="1">
      <alignment horizontal="center" vertical="center"/>
    </xf>
    <xf numFmtId="0" fontId="0" fillId="0" borderId="0" xfId="0" pivotButton="1"/>
    <xf numFmtId="9" fontId="0" fillId="0" borderId="0" xfId="0" applyNumberFormat="1"/>
    <xf numFmtId="0" fontId="18" fillId="0" borderId="0" xfId="0" applyFont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/>
    </xf>
    <xf numFmtId="0" fontId="16" fillId="0" borderId="12" xfId="0" applyFont="1" applyBorder="1"/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0" fillId="0" borderId="0" xfId="0" applyNumberFormat="1"/>
    <xf numFmtId="0" fontId="16" fillId="0" borderId="13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3.774676620371" createdVersion="8" refreshedVersion="8" minRefreshableVersion="3" recordCount="200" xr:uid="{BC87F67B-FDBB-44AE-9537-C727C38AACA4}">
  <cacheSource type="worksheet">
    <worksheetSource name="Table1"/>
  </cacheSource>
  <cacheFields count="9">
    <cacheField name="Production Line Id" numFmtId="0">
      <sharedItems count="200">
        <s v="SL-101"/>
        <s v="SL-102"/>
        <s v="SL-103"/>
        <s v="SL-104"/>
        <s v="SL-105"/>
        <s v="SL-106"/>
        <s v="SL-107"/>
        <s v="SL-108"/>
        <s v="SL-109"/>
        <s v="SL-110"/>
        <s v="SL-111"/>
        <s v="SL-112"/>
        <s v="SL-113"/>
        <s v="SL-114"/>
        <s v="SL-115"/>
        <s v="SL-116"/>
        <s v="SL-117"/>
        <s v="SL-118"/>
        <s v="SL-119"/>
        <s v="SL-120"/>
        <s v="SL-121"/>
        <s v="SL-122"/>
        <s v="SL-123"/>
        <s v="SL-124"/>
        <s v="SL-125"/>
        <s v="SL-126"/>
        <s v="SL-127"/>
        <s v="SL-128"/>
        <s v="SL-129"/>
        <s v="SL-130"/>
        <s v="SL-131"/>
        <s v="SL-132"/>
        <s v="SL-133"/>
        <s v="SL-134"/>
        <s v="SL-135"/>
        <s v="SL-136"/>
        <s v="SL-137"/>
        <s v="SL-138"/>
        <s v="SL-139"/>
        <s v="SL-140"/>
        <s v="SL-141"/>
        <s v="SL-142"/>
        <s v="SL-143"/>
        <s v="SL-144"/>
        <s v="SL-145"/>
        <s v="SL-146"/>
        <s v="SL-147"/>
        <s v="SL-148"/>
        <s v="SL-149"/>
        <s v="SL-150"/>
        <s v="SL-151"/>
        <s v="SL-152"/>
        <s v="SL-153"/>
        <s v="SL-154"/>
        <s v="SL-155"/>
        <s v="SL-156"/>
        <s v="SL-157"/>
        <s v="SL-158"/>
        <s v="SL-159"/>
        <s v="SL-160"/>
        <s v="SL-161"/>
        <s v="SL-162"/>
        <s v="SL-163"/>
        <s v="SL-164"/>
        <s v="SL-165"/>
        <s v="SL-166"/>
        <s v="SL-167"/>
        <s v="SL-168"/>
        <s v="SL-169"/>
        <s v="SL-170"/>
        <s v="SL-171"/>
        <s v="SL-172"/>
        <s v="SL-173"/>
        <s v="SL-174"/>
        <s v="SL-175"/>
        <s v="SL-176"/>
        <s v="SL-177"/>
        <s v="SL-178"/>
        <s v="SL-179"/>
        <s v="SL-180"/>
        <s v="SL-181"/>
        <s v="SL-182"/>
        <s v="SL-183"/>
        <s v="SL-184"/>
        <s v="SL-185"/>
        <s v="SL-186"/>
        <s v="SL-187"/>
        <s v="SL-188"/>
        <s v="SL-189"/>
        <s v="SL-190"/>
        <s v="SL-191"/>
        <s v="SL-192"/>
        <s v="SL-193"/>
        <s v="SL-194"/>
        <s v="SL-195"/>
        <s v="SL-196"/>
        <s v="SL-197"/>
        <s v="SL-198"/>
        <s v="SL-199"/>
        <s v="SL-200"/>
        <s v="SL-201"/>
        <s v="SL-202"/>
        <s v="SL-203"/>
        <s v="SL-204"/>
        <s v="SL-205"/>
        <s v="SL-206"/>
        <s v="SL-207"/>
        <s v="SL-208"/>
        <s v="SL-209"/>
        <s v="SL-210"/>
        <s v="SL-211"/>
        <s v="SL-212"/>
        <s v="SL-213"/>
        <s v="SL-214"/>
        <s v="SL-215"/>
        <s v="SL-216"/>
        <s v="SL-217"/>
        <s v="SL-218"/>
        <s v="SL-219"/>
        <s v="SL-220"/>
        <s v="SL-221"/>
        <s v="SL-222"/>
        <s v="SL-223"/>
        <s v="SL-224"/>
        <s v="SL-225"/>
        <s v="SL-226"/>
        <s v="SL-227"/>
        <s v="SL-228"/>
        <s v="SL-229"/>
        <s v="SL-230"/>
        <s v="SL-231"/>
        <s v="SL-232"/>
        <s v="SL-233"/>
        <s v="SL-234"/>
        <s v="SL-235"/>
        <s v="SL-236"/>
        <s v="SL-237"/>
        <s v="SL-238"/>
        <s v="SL-239"/>
        <s v="SL-240"/>
        <s v="SL-241"/>
        <s v="SL-242"/>
        <s v="SL-243"/>
        <s v="SL-244"/>
        <s v="SL-245"/>
        <s v="SL-246"/>
        <s v="SL-247"/>
        <s v="SL-248"/>
        <s v="SL-249"/>
        <s v="SL-250"/>
        <s v="SL-251"/>
        <s v="SL-252"/>
        <s v="SL-253"/>
        <s v="SL-254"/>
        <s v="SL-255"/>
        <s v="SL-256"/>
        <s v="SL-257"/>
        <s v="SL-258"/>
        <s v="SL-259"/>
        <s v="SL-260"/>
        <s v="SL-261"/>
        <s v="SL-262"/>
        <s v="SL-263"/>
        <s v="SL-264"/>
        <s v="SL-265"/>
        <s v="SL-266"/>
        <s v="SL-267"/>
        <s v="SL-268"/>
        <s v="SL-269"/>
        <s v="SL-270"/>
        <s v="SL-271"/>
        <s v="SL-272"/>
        <s v="SL-273"/>
        <s v="SL-274"/>
        <s v="SL-275"/>
        <s v="SL-276"/>
        <s v="SL-277"/>
        <s v="SL-278"/>
        <s v="SL-279"/>
        <s v="SL-280"/>
        <s v="SL-281"/>
        <s v="SL-282"/>
        <s v="SL-283"/>
        <s v="SL-284"/>
        <s v="SL-285"/>
        <s v="SL-286"/>
        <s v="SL-287"/>
        <s v="SL-288"/>
        <s v="SL-289"/>
        <s v="SL-290"/>
        <s v="SL-291"/>
        <s v="SL-292"/>
        <s v="SL-293"/>
        <s v="SL-294"/>
        <s v="SL-295"/>
        <s v="SL-296"/>
        <s v="SL-297"/>
        <s v="SL-298"/>
        <s v="SL-299"/>
        <s v="SL-300"/>
      </sharedItems>
    </cacheField>
    <cacheField name="Defective Units" numFmtId="0">
      <sharedItems containsSemiMixedTypes="0" containsString="0" containsNumber="1" containsInteger="1" minValue="20" maxValue="200"/>
    </cacheField>
    <cacheField name="Defect Type" numFmtId="0">
      <sharedItems count="9">
        <s v="Broken Stitch"/>
        <s v="Stain"/>
        <s v="Hole"/>
        <s v="Puckering"/>
        <s v="Needle Mark"/>
        <s v="Skip Stain"/>
        <s v="Raw Edge"/>
        <s v="Joint Stitch"/>
        <s v="Oil Stain"/>
      </sharedItems>
    </cacheField>
    <cacheField name="Total Unit" numFmtId="0">
      <sharedItems containsSemiMixedTypes="0" containsString="0" containsNumber="1" containsInteger="1" minValue="2000" maxValue="2000"/>
    </cacheField>
    <cacheField name="Shipping Cost ($)" numFmtId="0">
      <sharedItems containsSemiMixedTypes="0" containsString="0" containsNumber="1" containsInteger="1" minValue="65" maxValue="980"/>
    </cacheField>
    <cacheField name="Defect Rate" numFmtId="9">
      <sharedItems containsSemiMixedTypes="0" containsString="0" containsNumber="1" minValue="0.01" maxValue="0.1"/>
    </cacheField>
    <cacheField name="Defect Rate Status" numFmtId="0">
      <sharedItems count="3">
        <s v="High Risk"/>
        <s v="Low Risk"/>
        <s v="Medium Risk"/>
      </sharedItems>
    </cacheField>
    <cacheField name="Shipping Cost ($)Status" numFmtId="0">
      <sharedItems count="3">
        <s v="Economical"/>
        <s v="Low Cost"/>
        <s v="Expensive"/>
      </sharedItems>
    </cacheField>
    <cacheField name="Shift(day/night)" numFmtId="0">
      <sharedItems count="2">
        <s v="Day"/>
        <s v="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00"/>
    <x v="0"/>
    <n v="2000"/>
    <n v="500"/>
    <n v="0.1"/>
    <x v="0"/>
    <x v="0"/>
    <x v="0"/>
  </r>
  <r>
    <x v="1"/>
    <n v="26"/>
    <x v="1"/>
    <n v="2000"/>
    <n v="320"/>
    <n v="1.2999999999999999E-2"/>
    <x v="1"/>
    <x v="1"/>
    <x v="1"/>
  </r>
  <r>
    <x v="2"/>
    <n v="27"/>
    <x v="2"/>
    <n v="2000"/>
    <n v="210"/>
    <n v="1.35E-2"/>
    <x v="1"/>
    <x v="1"/>
    <x v="0"/>
  </r>
  <r>
    <x v="3"/>
    <n v="28"/>
    <x v="3"/>
    <n v="2000"/>
    <n v="540"/>
    <n v="1.4E-2"/>
    <x v="1"/>
    <x v="0"/>
    <x v="1"/>
  </r>
  <r>
    <x v="4"/>
    <n v="29"/>
    <x v="4"/>
    <n v="2000"/>
    <n v="290"/>
    <n v="1.4500000000000001E-2"/>
    <x v="1"/>
    <x v="1"/>
    <x v="0"/>
  </r>
  <r>
    <x v="5"/>
    <n v="30"/>
    <x v="5"/>
    <n v="2000"/>
    <n v="610"/>
    <n v="1.4999999999999999E-2"/>
    <x v="1"/>
    <x v="0"/>
    <x v="1"/>
  </r>
  <r>
    <x v="6"/>
    <n v="31"/>
    <x v="6"/>
    <n v="2000"/>
    <n v="120"/>
    <n v="1.55E-2"/>
    <x v="1"/>
    <x v="1"/>
    <x v="0"/>
  </r>
  <r>
    <x v="7"/>
    <n v="32"/>
    <x v="7"/>
    <n v="2000"/>
    <n v="480"/>
    <n v="1.6E-2"/>
    <x v="1"/>
    <x v="1"/>
    <x v="1"/>
  </r>
  <r>
    <x v="8"/>
    <n v="33"/>
    <x v="8"/>
    <n v="2000"/>
    <n v="150"/>
    <n v="1.6500000000000001E-2"/>
    <x v="1"/>
    <x v="1"/>
    <x v="0"/>
  </r>
  <r>
    <x v="9"/>
    <n v="34"/>
    <x v="0"/>
    <n v="2000"/>
    <n v="720"/>
    <n v="1.7000000000000001E-2"/>
    <x v="1"/>
    <x v="2"/>
    <x v="1"/>
  </r>
  <r>
    <x v="10"/>
    <n v="35"/>
    <x v="1"/>
    <n v="2000"/>
    <n v="330"/>
    <n v="1.7500000000000002E-2"/>
    <x v="1"/>
    <x v="1"/>
    <x v="0"/>
  </r>
  <r>
    <x v="11"/>
    <n v="36"/>
    <x v="2"/>
    <n v="2000"/>
    <n v="90"/>
    <n v="1.7999999999999999E-2"/>
    <x v="1"/>
    <x v="1"/>
    <x v="1"/>
  </r>
  <r>
    <x v="12"/>
    <n v="37"/>
    <x v="3"/>
    <n v="2000"/>
    <n v="500"/>
    <n v="1.8499999999999999E-2"/>
    <x v="1"/>
    <x v="0"/>
    <x v="0"/>
  </r>
  <r>
    <x v="13"/>
    <n v="38"/>
    <x v="4"/>
    <n v="2000"/>
    <n v="110"/>
    <n v="1.9E-2"/>
    <x v="1"/>
    <x v="1"/>
    <x v="1"/>
  </r>
  <r>
    <x v="14"/>
    <n v="39"/>
    <x v="5"/>
    <n v="2000"/>
    <n v="850"/>
    <n v="1.95E-2"/>
    <x v="1"/>
    <x v="2"/>
    <x v="0"/>
  </r>
  <r>
    <x v="15"/>
    <n v="40"/>
    <x v="6"/>
    <n v="2000"/>
    <n v="180"/>
    <n v="0.02"/>
    <x v="1"/>
    <x v="1"/>
    <x v="1"/>
  </r>
  <r>
    <x v="16"/>
    <n v="41"/>
    <x v="7"/>
    <n v="2000"/>
    <n v="420"/>
    <n v="2.0500000000000001E-2"/>
    <x v="1"/>
    <x v="1"/>
    <x v="0"/>
  </r>
  <r>
    <x v="17"/>
    <n v="42"/>
    <x v="8"/>
    <n v="2000"/>
    <n v="260"/>
    <n v="2.1000000000000001E-2"/>
    <x v="1"/>
    <x v="1"/>
    <x v="1"/>
  </r>
  <r>
    <x v="18"/>
    <n v="43"/>
    <x v="0"/>
    <n v="2000"/>
    <n v="140"/>
    <n v="2.1499999999999998E-2"/>
    <x v="1"/>
    <x v="1"/>
    <x v="0"/>
  </r>
  <r>
    <x v="19"/>
    <n v="44"/>
    <x v="1"/>
    <n v="2000"/>
    <n v="980"/>
    <n v="2.1999999999999999E-2"/>
    <x v="1"/>
    <x v="2"/>
    <x v="1"/>
  </r>
  <r>
    <x v="20"/>
    <n v="45"/>
    <x v="2"/>
    <n v="2000"/>
    <n v="310"/>
    <n v="2.2499999999999999E-2"/>
    <x v="1"/>
    <x v="1"/>
    <x v="0"/>
  </r>
  <r>
    <x v="21"/>
    <n v="46"/>
    <x v="3"/>
    <n v="2000"/>
    <n v="95"/>
    <n v="2.3E-2"/>
    <x v="1"/>
    <x v="1"/>
    <x v="1"/>
  </r>
  <r>
    <x v="22"/>
    <n v="47"/>
    <x v="4"/>
    <n v="2000"/>
    <n v="770"/>
    <n v="2.35E-2"/>
    <x v="1"/>
    <x v="2"/>
    <x v="0"/>
  </r>
  <r>
    <x v="23"/>
    <n v="48"/>
    <x v="5"/>
    <n v="2000"/>
    <n v="130"/>
    <n v="2.4E-2"/>
    <x v="1"/>
    <x v="1"/>
    <x v="1"/>
  </r>
  <r>
    <x v="24"/>
    <n v="49"/>
    <x v="6"/>
    <n v="2000"/>
    <n v="460"/>
    <n v="2.4500000000000001E-2"/>
    <x v="1"/>
    <x v="1"/>
    <x v="0"/>
  </r>
  <r>
    <x v="25"/>
    <n v="50"/>
    <x v="7"/>
    <n v="2000"/>
    <n v="390"/>
    <n v="2.5000000000000001E-2"/>
    <x v="2"/>
    <x v="1"/>
    <x v="1"/>
  </r>
  <r>
    <x v="26"/>
    <n v="51"/>
    <x v="8"/>
    <n v="2000"/>
    <n v="520"/>
    <n v="2.5499999999999998E-2"/>
    <x v="2"/>
    <x v="0"/>
    <x v="0"/>
  </r>
  <r>
    <x v="27"/>
    <n v="52"/>
    <x v="0"/>
    <n v="2000"/>
    <n v="85"/>
    <n v="2.5999999999999999E-2"/>
    <x v="2"/>
    <x v="1"/>
    <x v="1"/>
  </r>
  <r>
    <x v="28"/>
    <n v="53"/>
    <x v="1"/>
    <n v="2000"/>
    <n v="220"/>
    <n v="2.6499999999999999E-2"/>
    <x v="2"/>
    <x v="1"/>
    <x v="0"/>
  </r>
  <r>
    <x v="29"/>
    <n v="54"/>
    <x v="2"/>
    <n v="2000"/>
    <n v="890"/>
    <n v="2.7E-2"/>
    <x v="2"/>
    <x v="2"/>
    <x v="1"/>
  </r>
  <r>
    <x v="30"/>
    <n v="55"/>
    <x v="3"/>
    <n v="2000"/>
    <n v="340"/>
    <n v="2.75E-2"/>
    <x v="2"/>
    <x v="1"/>
    <x v="0"/>
  </r>
  <r>
    <x v="31"/>
    <n v="56"/>
    <x v="4"/>
    <n v="2000"/>
    <n v="275"/>
    <n v="2.8000000000000001E-2"/>
    <x v="2"/>
    <x v="1"/>
    <x v="1"/>
  </r>
  <r>
    <x v="32"/>
    <n v="57"/>
    <x v="5"/>
    <n v="2000"/>
    <n v="600"/>
    <n v="2.8500000000000001E-2"/>
    <x v="2"/>
    <x v="0"/>
    <x v="0"/>
  </r>
  <r>
    <x v="33"/>
    <n v="58"/>
    <x v="6"/>
    <n v="2000"/>
    <n v="115"/>
    <n v="2.9000000000000001E-2"/>
    <x v="2"/>
    <x v="1"/>
    <x v="1"/>
  </r>
  <r>
    <x v="34"/>
    <n v="59"/>
    <x v="7"/>
    <n v="2000"/>
    <n v="920"/>
    <n v="2.9499999999999998E-2"/>
    <x v="2"/>
    <x v="2"/>
    <x v="0"/>
  </r>
  <r>
    <x v="35"/>
    <n v="60"/>
    <x v="8"/>
    <n v="2000"/>
    <n v="190"/>
    <n v="0.03"/>
    <x v="2"/>
    <x v="1"/>
    <x v="1"/>
  </r>
  <r>
    <x v="36"/>
    <n v="61"/>
    <x v="0"/>
    <n v="2000"/>
    <n v="410"/>
    <n v="3.0499999999999999E-2"/>
    <x v="2"/>
    <x v="1"/>
    <x v="0"/>
  </r>
  <r>
    <x v="37"/>
    <n v="62"/>
    <x v="1"/>
    <n v="2000"/>
    <n v="70"/>
    <n v="3.1E-2"/>
    <x v="2"/>
    <x v="1"/>
    <x v="1"/>
  </r>
  <r>
    <x v="38"/>
    <n v="63"/>
    <x v="2"/>
    <n v="2000"/>
    <n v="880"/>
    <n v="3.15E-2"/>
    <x v="2"/>
    <x v="2"/>
    <x v="0"/>
  </r>
  <r>
    <x v="39"/>
    <n v="64"/>
    <x v="3"/>
    <n v="2000"/>
    <n v="105"/>
    <n v="3.2000000000000001E-2"/>
    <x v="2"/>
    <x v="1"/>
    <x v="1"/>
  </r>
  <r>
    <x v="40"/>
    <n v="65"/>
    <x v="4"/>
    <n v="2000"/>
    <n v="550"/>
    <n v="3.2500000000000001E-2"/>
    <x v="2"/>
    <x v="0"/>
    <x v="0"/>
  </r>
  <r>
    <x v="41"/>
    <n v="66"/>
    <x v="5"/>
    <n v="2000"/>
    <n v="145"/>
    <n v="3.3000000000000002E-2"/>
    <x v="2"/>
    <x v="1"/>
    <x v="1"/>
  </r>
  <r>
    <x v="42"/>
    <n v="67"/>
    <x v="6"/>
    <n v="2000"/>
    <n v="300"/>
    <n v="3.3500000000000002E-2"/>
    <x v="2"/>
    <x v="1"/>
    <x v="0"/>
  </r>
  <r>
    <x v="43"/>
    <n v="68"/>
    <x v="7"/>
    <n v="2000"/>
    <n v="65"/>
    <n v="3.4000000000000002E-2"/>
    <x v="2"/>
    <x v="1"/>
    <x v="1"/>
  </r>
  <r>
    <x v="44"/>
    <n v="69"/>
    <x v="8"/>
    <n v="2000"/>
    <n v="740"/>
    <n v="3.4500000000000003E-2"/>
    <x v="2"/>
    <x v="2"/>
    <x v="0"/>
  </r>
  <r>
    <x v="45"/>
    <n v="80"/>
    <x v="0"/>
    <n v="2000"/>
    <n v="210"/>
    <n v="0.04"/>
    <x v="0"/>
    <x v="1"/>
    <x v="1"/>
  </r>
  <r>
    <x v="46"/>
    <n v="20"/>
    <x v="1"/>
    <n v="2000"/>
    <n v="430"/>
    <n v="0.01"/>
    <x v="1"/>
    <x v="1"/>
    <x v="0"/>
  </r>
  <r>
    <x v="47"/>
    <n v="72"/>
    <x v="2"/>
    <n v="2000"/>
    <n v="125"/>
    <n v="3.5999999999999997E-2"/>
    <x v="0"/>
    <x v="1"/>
    <x v="1"/>
  </r>
  <r>
    <x v="48"/>
    <n v="60"/>
    <x v="3"/>
    <n v="2000"/>
    <n v="680"/>
    <n v="0.03"/>
    <x v="2"/>
    <x v="0"/>
    <x v="0"/>
  </r>
  <r>
    <x v="49"/>
    <n v="74"/>
    <x v="4"/>
    <n v="2000"/>
    <n v="250"/>
    <n v="3.6999999999999998E-2"/>
    <x v="0"/>
    <x v="1"/>
    <x v="1"/>
  </r>
  <r>
    <x v="50"/>
    <n v="90"/>
    <x v="5"/>
    <n v="2000"/>
    <n v="890"/>
    <n v="4.4999999999999998E-2"/>
    <x v="0"/>
    <x v="2"/>
    <x v="0"/>
  </r>
  <r>
    <x v="51"/>
    <n v="76"/>
    <x v="6"/>
    <n v="2000"/>
    <n v="340"/>
    <n v="3.7999999999999999E-2"/>
    <x v="0"/>
    <x v="1"/>
    <x v="1"/>
  </r>
  <r>
    <x v="52"/>
    <n v="77"/>
    <x v="7"/>
    <n v="2000"/>
    <n v="275"/>
    <n v="3.85E-2"/>
    <x v="0"/>
    <x v="1"/>
    <x v="0"/>
  </r>
  <r>
    <x v="53"/>
    <n v="78"/>
    <x v="8"/>
    <n v="2000"/>
    <n v="600"/>
    <n v="3.9E-2"/>
    <x v="0"/>
    <x v="0"/>
    <x v="1"/>
  </r>
  <r>
    <x v="54"/>
    <n v="79"/>
    <x v="0"/>
    <n v="2000"/>
    <n v="115"/>
    <n v="3.95E-2"/>
    <x v="0"/>
    <x v="1"/>
    <x v="0"/>
  </r>
  <r>
    <x v="55"/>
    <n v="80"/>
    <x v="1"/>
    <n v="2000"/>
    <n v="920"/>
    <n v="0.04"/>
    <x v="0"/>
    <x v="2"/>
    <x v="1"/>
  </r>
  <r>
    <x v="56"/>
    <n v="81"/>
    <x v="2"/>
    <n v="2000"/>
    <n v="190"/>
    <n v="4.0500000000000001E-2"/>
    <x v="0"/>
    <x v="1"/>
    <x v="0"/>
  </r>
  <r>
    <x v="57"/>
    <n v="82"/>
    <x v="3"/>
    <n v="2000"/>
    <n v="290"/>
    <n v="4.1000000000000002E-2"/>
    <x v="0"/>
    <x v="1"/>
    <x v="1"/>
  </r>
  <r>
    <x v="58"/>
    <n v="83"/>
    <x v="4"/>
    <n v="2000"/>
    <n v="610"/>
    <n v="4.1500000000000002E-2"/>
    <x v="0"/>
    <x v="0"/>
    <x v="0"/>
  </r>
  <r>
    <x v="59"/>
    <n v="84"/>
    <x v="5"/>
    <n v="2000"/>
    <n v="120"/>
    <n v="4.2000000000000003E-2"/>
    <x v="0"/>
    <x v="1"/>
    <x v="1"/>
  </r>
  <r>
    <x v="60"/>
    <n v="85"/>
    <x v="6"/>
    <n v="2000"/>
    <n v="480"/>
    <n v="4.2500000000000003E-2"/>
    <x v="0"/>
    <x v="1"/>
    <x v="0"/>
  </r>
  <r>
    <x v="61"/>
    <n v="86"/>
    <x v="7"/>
    <n v="2000"/>
    <n v="150"/>
    <n v="4.2999999999999997E-2"/>
    <x v="0"/>
    <x v="1"/>
    <x v="1"/>
  </r>
  <r>
    <x v="62"/>
    <n v="87"/>
    <x v="8"/>
    <n v="2000"/>
    <n v="720"/>
    <n v="4.3499999999999997E-2"/>
    <x v="0"/>
    <x v="2"/>
    <x v="0"/>
  </r>
  <r>
    <x v="63"/>
    <n v="88"/>
    <x v="0"/>
    <n v="2000"/>
    <n v="330"/>
    <n v="4.3999999999999997E-2"/>
    <x v="0"/>
    <x v="1"/>
    <x v="1"/>
  </r>
  <r>
    <x v="64"/>
    <n v="89"/>
    <x v="1"/>
    <n v="2000"/>
    <n v="90"/>
    <n v="4.4499999999999998E-2"/>
    <x v="0"/>
    <x v="1"/>
    <x v="0"/>
  </r>
  <r>
    <x v="65"/>
    <n v="90"/>
    <x v="2"/>
    <n v="2000"/>
    <n v="500"/>
    <n v="4.4999999999999998E-2"/>
    <x v="0"/>
    <x v="0"/>
    <x v="1"/>
  </r>
  <r>
    <x v="66"/>
    <n v="91"/>
    <x v="3"/>
    <n v="2000"/>
    <n v="110"/>
    <n v="4.5499999999999999E-2"/>
    <x v="0"/>
    <x v="1"/>
    <x v="0"/>
  </r>
  <r>
    <x v="67"/>
    <n v="92"/>
    <x v="4"/>
    <n v="2000"/>
    <n v="850"/>
    <n v="4.5999999999999999E-2"/>
    <x v="0"/>
    <x v="2"/>
    <x v="1"/>
  </r>
  <r>
    <x v="68"/>
    <n v="93"/>
    <x v="5"/>
    <n v="2000"/>
    <n v="180"/>
    <n v="4.65E-2"/>
    <x v="0"/>
    <x v="1"/>
    <x v="0"/>
  </r>
  <r>
    <x v="69"/>
    <n v="94"/>
    <x v="6"/>
    <n v="2000"/>
    <n v="500"/>
    <n v="4.7E-2"/>
    <x v="0"/>
    <x v="0"/>
    <x v="1"/>
  </r>
  <r>
    <x v="70"/>
    <n v="95"/>
    <x v="7"/>
    <n v="2000"/>
    <n v="480"/>
    <n v="4.7500000000000001E-2"/>
    <x v="0"/>
    <x v="1"/>
    <x v="0"/>
  </r>
  <r>
    <x v="71"/>
    <n v="96"/>
    <x v="8"/>
    <n v="2000"/>
    <n v="150"/>
    <n v="4.8000000000000001E-2"/>
    <x v="0"/>
    <x v="1"/>
    <x v="1"/>
  </r>
  <r>
    <x v="72"/>
    <n v="97"/>
    <x v="0"/>
    <n v="2000"/>
    <n v="720"/>
    <n v="4.8500000000000001E-2"/>
    <x v="0"/>
    <x v="2"/>
    <x v="0"/>
  </r>
  <r>
    <x v="73"/>
    <n v="98"/>
    <x v="1"/>
    <n v="2000"/>
    <n v="330"/>
    <n v="4.9000000000000002E-2"/>
    <x v="0"/>
    <x v="1"/>
    <x v="1"/>
  </r>
  <r>
    <x v="74"/>
    <n v="99"/>
    <x v="2"/>
    <n v="2000"/>
    <n v="90"/>
    <n v="4.9500000000000002E-2"/>
    <x v="0"/>
    <x v="1"/>
    <x v="0"/>
  </r>
  <r>
    <x v="75"/>
    <n v="100"/>
    <x v="3"/>
    <n v="2000"/>
    <n v="500"/>
    <n v="0.05"/>
    <x v="0"/>
    <x v="0"/>
    <x v="1"/>
  </r>
  <r>
    <x v="76"/>
    <n v="101"/>
    <x v="4"/>
    <n v="2000"/>
    <n v="110"/>
    <n v="5.0500000000000003E-2"/>
    <x v="0"/>
    <x v="1"/>
    <x v="0"/>
  </r>
  <r>
    <x v="77"/>
    <n v="102"/>
    <x v="5"/>
    <n v="2000"/>
    <n v="850"/>
    <n v="5.0999999999999997E-2"/>
    <x v="0"/>
    <x v="2"/>
    <x v="1"/>
  </r>
  <r>
    <x v="78"/>
    <n v="53"/>
    <x v="6"/>
    <n v="2000"/>
    <n v="180"/>
    <n v="2.6499999999999999E-2"/>
    <x v="2"/>
    <x v="1"/>
    <x v="0"/>
  </r>
  <r>
    <x v="79"/>
    <n v="54"/>
    <x v="7"/>
    <n v="2000"/>
    <n v="420"/>
    <n v="2.7E-2"/>
    <x v="2"/>
    <x v="1"/>
    <x v="1"/>
  </r>
  <r>
    <x v="80"/>
    <n v="55"/>
    <x v="8"/>
    <n v="2000"/>
    <n v="260"/>
    <n v="2.75E-2"/>
    <x v="2"/>
    <x v="1"/>
    <x v="0"/>
  </r>
  <r>
    <x v="81"/>
    <n v="56"/>
    <x v="0"/>
    <n v="2000"/>
    <n v="140"/>
    <n v="2.8000000000000001E-2"/>
    <x v="2"/>
    <x v="1"/>
    <x v="1"/>
  </r>
  <r>
    <x v="82"/>
    <n v="57"/>
    <x v="1"/>
    <n v="2000"/>
    <n v="980"/>
    <n v="2.8500000000000001E-2"/>
    <x v="2"/>
    <x v="2"/>
    <x v="0"/>
  </r>
  <r>
    <x v="83"/>
    <n v="58"/>
    <x v="2"/>
    <n v="2000"/>
    <n v="310"/>
    <n v="2.9000000000000001E-2"/>
    <x v="2"/>
    <x v="1"/>
    <x v="1"/>
  </r>
  <r>
    <x v="84"/>
    <n v="59"/>
    <x v="3"/>
    <n v="2000"/>
    <n v="95"/>
    <n v="2.9499999999999998E-2"/>
    <x v="2"/>
    <x v="1"/>
    <x v="0"/>
  </r>
  <r>
    <x v="85"/>
    <n v="60"/>
    <x v="4"/>
    <n v="2000"/>
    <n v="770"/>
    <n v="0.03"/>
    <x v="2"/>
    <x v="2"/>
    <x v="1"/>
  </r>
  <r>
    <x v="86"/>
    <n v="61"/>
    <x v="5"/>
    <n v="2000"/>
    <n v="130"/>
    <n v="3.0499999999999999E-2"/>
    <x v="2"/>
    <x v="1"/>
    <x v="0"/>
  </r>
  <r>
    <x v="87"/>
    <n v="62"/>
    <x v="6"/>
    <n v="2000"/>
    <n v="460"/>
    <n v="3.1E-2"/>
    <x v="2"/>
    <x v="1"/>
    <x v="1"/>
  </r>
  <r>
    <x v="88"/>
    <n v="63"/>
    <x v="7"/>
    <n v="2000"/>
    <n v="390"/>
    <n v="3.15E-2"/>
    <x v="2"/>
    <x v="1"/>
    <x v="0"/>
  </r>
  <r>
    <x v="89"/>
    <n v="64"/>
    <x v="8"/>
    <n v="2000"/>
    <n v="520"/>
    <n v="3.2000000000000001E-2"/>
    <x v="2"/>
    <x v="0"/>
    <x v="1"/>
  </r>
  <r>
    <x v="90"/>
    <n v="65"/>
    <x v="0"/>
    <n v="2000"/>
    <n v="880"/>
    <n v="3.2500000000000001E-2"/>
    <x v="2"/>
    <x v="2"/>
    <x v="0"/>
  </r>
  <r>
    <x v="91"/>
    <n v="116"/>
    <x v="1"/>
    <n v="2000"/>
    <n v="105"/>
    <n v="5.8000000000000003E-2"/>
    <x v="0"/>
    <x v="1"/>
    <x v="1"/>
  </r>
  <r>
    <x v="92"/>
    <n v="38"/>
    <x v="2"/>
    <n v="2000"/>
    <n v="550"/>
    <n v="1.9E-2"/>
    <x v="1"/>
    <x v="0"/>
    <x v="0"/>
  </r>
  <r>
    <x v="93"/>
    <n v="39"/>
    <x v="3"/>
    <n v="2000"/>
    <n v="145"/>
    <n v="1.95E-2"/>
    <x v="1"/>
    <x v="1"/>
    <x v="1"/>
  </r>
  <r>
    <x v="94"/>
    <n v="40"/>
    <x v="4"/>
    <n v="2000"/>
    <n v="300"/>
    <n v="0.02"/>
    <x v="1"/>
    <x v="1"/>
    <x v="0"/>
  </r>
  <r>
    <x v="95"/>
    <n v="41"/>
    <x v="5"/>
    <n v="2000"/>
    <n v="65"/>
    <n v="2.0500000000000001E-2"/>
    <x v="1"/>
    <x v="1"/>
    <x v="1"/>
  </r>
  <r>
    <x v="96"/>
    <n v="42"/>
    <x v="6"/>
    <n v="2000"/>
    <n v="740"/>
    <n v="2.1000000000000001E-2"/>
    <x v="1"/>
    <x v="2"/>
    <x v="0"/>
  </r>
  <r>
    <x v="97"/>
    <n v="43"/>
    <x v="7"/>
    <n v="2000"/>
    <n v="210"/>
    <n v="2.1499999999999998E-2"/>
    <x v="1"/>
    <x v="1"/>
    <x v="1"/>
  </r>
  <r>
    <x v="98"/>
    <n v="44"/>
    <x v="8"/>
    <n v="2000"/>
    <n v="430"/>
    <n v="2.1999999999999999E-2"/>
    <x v="1"/>
    <x v="1"/>
    <x v="0"/>
  </r>
  <r>
    <x v="99"/>
    <n v="45"/>
    <x v="0"/>
    <n v="2000"/>
    <n v="125"/>
    <n v="2.2499999999999999E-2"/>
    <x v="1"/>
    <x v="1"/>
    <x v="1"/>
  </r>
  <r>
    <x v="100"/>
    <n v="46"/>
    <x v="1"/>
    <n v="2000"/>
    <n v="680"/>
    <n v="2.3E-2"/>
    <x v="1"/>
    <x v="0"/>
    <x v="0"/>
  </r>
  <r>
    <x v="101"/>
    <n v="47"/>
    <x v="2"/>
    <n v="2000"/>
    <n v="250"/>
    <n v="2.35E-2"/>
    <x v="1"/>
    <x v="1"/>
    <x v="1"/>
  </r>
  <r>
    <x v="102"/>
    <n v="48"/>
    <x v="3"/>
    <n v="2000"/>
    <n v="890"/>
    <n v="2.4E-2"/>
    <x v="1"/>
    <x v="2"/>
    <x v="0"/>
  </r>
  <r>
    <x v="103"/>
    <n v="49"/>
    <x v="4"/>
    <n v="2000"/>
    <n v="340"/>
    <n v="2.4500000000000001E-2"/>
    <x v="1"/>
    <x v="1"/>
    <x v="1"/>
  </r>
  <r>
    <x v="104"/>
    <n v="50"/>
    <x v="5"/>
    <n v="2000"/>
    <n v="275"/>
    <n v="2.5000000000000001E-2"/>
    <x v="2"/>
    <x v="1"/>
    <x v="0"/>
  </r>
  <r>
    <x v="105"/>
    <n v="51"/>
    <x v="6"/>
    <n v="2000"/>
    <n v="600"/>
    <n v="2.5499999999999998E-2"/>
    <x v="2"/>
    <x v="0"/>
    <x v="1"/>
  </r>
  <r>
    <x v="106"/>
    <n v="52"/>
    <x v="7"/>
    <n v="2000"/>
    <n v="115"/>
    <n v="2.5999999999999999E-2"/>
    <x v="2"/>
    <x v="1"/>
    <x v="0"/>
  </r>
  <r>
    <x v="107"/>
    <n v="53"/>
    <x v="8"/>
    <n v="2000"/>
    <n v="920"/>
    <n v="2.6499999999999999E-2"/>
    <x v="2"/>
    <x v="2"/>
    <x v="1"/>
  </r>
  <r>
    <x v="108"/>
    <n v="54"/>
    <x v="0"/>
    <n v="2000"/>
    <n v="190"/>
    <n v="2.7E-2"/>
    <x v="2"/>
    <x v="1"/>
    <x v="0"/>
  </r>
  <r>
    <x v="109"/>
    <n v="55"/>
    <x v="1"/>
    <n v="2000"/>
    <n v="290"/>
    <n v="2.75E-2"/>
    <x v="2"/>
    <x v="1"/>
    <x v="1"/>
  </r>
  <r>
    <x v="110"/>
    <n v="56"/>
    <x v="2"/>
    <n v="2000"/>
    <n v="610"/>
    <n v="2.8000000000000001E-2"/>
    <x v="2"/>
    <x v="0"/>
    <x v="0"/>
  </r>
  <r>
    <x v="111"/>
    <n v="57"/>
    <x v="3"/>
    <n v="2000"/>
    <n v="120"/>
    <n v="2.8500000000000001E-2"/>
    <x v="2"/>
    <x v="1"/>
    <x v="1"/>
  </r>
  <r>
    <x v="112"/>
    <n v="58"/>
    <x v="4"/>
    <n v="2000"/>
    <n v="480"/>
    <n v="2.9000000000000001E-2"/>
    <x v="2"/>
    <x v="1"/>
    <x v="0"/>
  </r>
  <r>
    <x v="113"/>
    <n v="59"/>
    <x v="5"/>
    <n v="2000"/>
    <n v="150"/>
    <n v="2.9499999999999998E-2"/>
    <x v="2"/>
    <x v="1"/>
    <x v="1"/>
  </r>
  <r>
    <x v="114"/>
    <n v="60"/>
    <x v="6"/>
    <n v="2000"/>
    <n v="720"/>
    <n v="0.03"/>
    <x v="2"/>
    <x v="2"/>
    <x v="0"/>
  </r>
  <r>
    <x v="115"/>
    <n v="61"/>
    <x v="7"/>
    <n v="2000"/>
    <n v="880"/>
    <n v="3.0499999999999999E-2"/>
    <x v="2"/>
    <x v="2"/>
    <x v="1"/>
  </r>
  <r>
    <x v="116"/>
    <n v="62"/>
    <x v="8"/>
    <n v="2000"/>
    <n v="105"/>
    <n v="3.1E-2"/>
    <x v="2"/>
    <x v="1"/>
    <x v="0"/>
  </r>
  <r>
    <x v="117"/>
    <n v="63"/>
    <x v="0"/>
    <n v="2000"/>
    <n v="550"/>
    <n v="3.15E-2"/>
    <x v="2"/>
    <x v="0"/>
    <x v="1"/>
  </r>
  <r>
    <x v="118"/>
    <n v="64"/>
    <x v="1"/>
    <n v="2000"/>
    <n v="145"/>
    <n v="3.2000000000000001E-2"/>
    <x v="2"/>
    <x v="1"/>
    <x v="0"/>
  </r>
  <r>
    <x v="119"/>
    <n v="65"/>
    <x v="2"/>
    <n v="2000"/>
    <n v="300"/>
    <n v="3.2500000000000001E-2"/>
    <x v="2"/>
    <x v="1"/>
    <x v="1"/>
  </r>
  <r>
    <x v="120"/>
    <n v="66"/>
    <x v="3"/>
    <n v="2000"/>
    <n v="65"/>
    <n v="3.3000000000000002E-2"/>
    <x v="2"/>
    <x v="1"/>
    <x v="0"/>
  </r>
  <r>
    <x v="121"/>
    <n v="67"/>
    <x v="4"/>
    <n v="2000"/>
    <n v="740"/>
    <n v="3.3500000000000002E-2"/>
    <x v="2"/>
    <x v="2"/>
    <x v="1"/>
  </r>
  <r>
    <x v="122"/>
    <n v="68"/>
    <x v="5"/>
    <n v="2000"/>
    <n v="210"/>
    <n v="3.4000000000000002E-2"/>
    <x v="2"/>
    <x v="1"/>
    <x v="0"/>
  </r>
  <r>
    <x v="123"/>
    <n v="69"/>
    <x v="6"/>
    <n v="2000"/>
    <n v="430"/>
    <n v="3.4500000000000003E-2"/>
    <x v="2"/>
    <x v="1"/>
    <x v="1"/>
  </r>
  <r>
    <x v="124"/>
    <n v="38"/>
    <x v="7"/>
    <n v="2000"/>
    <n v="125"/>
    <n v="1.9E-2"/>
    <x v="1"/>
    <x v="1"/>
    <x v="0"/>
  </r>
  <r>
    <x v="125"/>
    <n v="39"/>
    <x v="8"/>
    <n v="2000"/>
    <n v="680"/>
    <n v="1.95E-2"/>
    <x v="1"/>
    <x v="0"/>
    <x v="1"/>
  </r>
  <r>
    <x v="126"/>
    <n v="40"/>
    <x v="0"/>
    <n v="2000"/>
    <n v="250"/>
    <n v="0.02"/>
    <x v="1"/>
    <x v="1"/>
    <x v="0"/>
  </r>
  <r>
    <x v="127"/>
    <n v="41"/>
    <x v="1"/>
    <n v="2000"/>
    <n v="890"/>
    <n v="2.0500000000000001E-2"/>
    <x v="1"/>
    <x v="2"/>
    <x v="1"/>
  </r>
  <r>
    <x v="128"/>
    <n v="42"/>
    <x v="2"/>
    <n v="2000"/>
    <n v="340"/>
    <n v="2.1000000000000001E-2"/>
    <x v="1"/>
    <x v="1"/>
    <x v="0"/>
  </r>
  <r>
    <x v="129"/>
    <n v="43"/>
    <x v="3"/>
    <n v="2000"/>
    <n v="275"/>
    <n v="2.1499999999999998E-2"/>
    <x v="1"/>
    <x v="1"/>
    <x v="1"/>
  </r>
  <r>
    <x v="130"/>
    <n v="44"/>
    <x v="4"/>
    <n v="2000"/>
    <n v="600"/>
    <n v="2.1999999999999999E-2"/>
    <x v="1"/>
    <x v="0"/>
    <x v="0"/>
  </r>
  <r>
    <x v="131"/>
    <n v="45"/>
    <x v="5"/>
    <n v="2000"/>
    <n v="115"/>
    <n v="2.2499999999999999E-2"/>
    <x v="1"/>
    <x v="1"/>
    <x v="1"/>
  </r>
  <r>
    <x v="132"/>
    <n v="46"/>
    <x v="6"/>
    <n v="2000"/>
    <n v="920"/>
    <n v="2.3E-2"/>
    <x v="1"/>
    <x v="2"/>
    <x v="0"/>
  </r>
  <r>
    <x v="133"/>
    <n v="47"/>
    <x v="7"/>
    <n v="2000"/>
    <n v="190"/>
    <n v="2.35E-2"/>
    <x v="1"/>
    <x v="1"/>
    <x v="1"/>
  </r>
  <r>
    <x v="134"/>
    <n v="48"/>
    <x v="8"/>
    <n v="2000"/>
    <n v="290"/>
    <n v="2.4E-2"/>
    <x v="1"/>
    <x v="1"/>
    <x v="0"/>
  </r>
  <r>
    <x v="135"/>
    <n v="49"/>
    <x v="0"/>
    <n v="2000"/>
    <n v="610"/>
    <n v="2.4500000000000001E-2"/>
    <x v="1"/>
    <x v="0"/>
    <x v="1"/>
  </r>
  <r>
    <x v="136"/>
    <n v="50"/>
    <x v="1"/>
    <n v="2000"/>
    <n v="120"/>
    <n v="2.5000000000000001E-2"/>
    <x v="2"/>
    <x v="1"/>
    <x v="0"/>
  </r>
  <r>
    <x v="137"/>
    <n v="51"/>
    <x v="2"/>
    <n v="2000"/>
    <n v="480"/>
    <n v="2.5499999999999998E-2"/>
    <x v="2"/>
    <x v="1"/>
    <x v="1"/>
  </r>
  <r>
    <x v="138"/>
    <n v="52"/>
    <x v="3"/>
    <n v="2000"/>
    <n v="150"/>
    <n v="2.5999999999999999E-2"/>
    <x v="2"/>
    <x v="1"/>
    <x v="0"/>
  </r>
  <r>
    <x v="139"/>
    <n v="53"/>
    <x v="4"/>
    <n v="2000"/>
    <n v="720"/>
    <n v="2.6499999999999999E-2"/>
    <x v="2"/>
    <x v="2"/>
    <x v="1"/>
  </r>
  <r>
    <x v="140"/>
    <n v="54"/>
    <x v="5"/>
    <n v="2000"/>
    <n v="880"/>
    <n v="2.7E-2"/>
    <x v="2"/>
    <x v="2"/>
    <x v="0"/>
  </r>
  <r>
    <x v="141"/>
    <n v="55"/>
    <x v="6"/>
    <n v="2000"/>
    <n v="105"/>
    <n v="2.75E-2"/>
    <x v="2"/>
    <x v="1"/>
    <x v="1"/>
  </r>
  <r>
    <x v="142"/>
    <n v="56"/>
    <x v="7"/>
    <n v="2000"/>
    <n v="550"/>
    <n v="2.8000000000000001E-2"/>
    <x v="2"/>
    <x v="0"/>
    <x v="0"/>
  </r>
  <r>
    <x v="143"/>
    <n v="57"/>
    <x v="8"/>
    <n v="2000"/>
    <n v="145"/>
    <n v="2.8500000000000001E-2"/>
    <x v="2"/>
    <x v="1"/>
    <x v="1"/>
  </r>
  <r>
    <x v="144"/>
    <n v="58"/>
    <x v="0"/>
    <n v="2000"/>
    <n v="300"/>
    <n v="2.9000000000000001E-2"/>
    <x v="2"/>
    <x v="1"/>
    <x v="0"/>
  </r>
  <r>
    <x v="145"/>
    <n v="59"/>
    <x v="1"/>
    <n v="2000"/>
    <n v="65"/>
    <n v="2.9499999999999998E-2"/>
    <x v="2"/>
    <x v="1"/>
    <x v="1"/>
  </r>
  <r>
    <x v="146"/>
    <n v="60"/>
    <x v="2"/>
    <n v="2000"/>
    <n v="740"/>
    <n v="0.03"/>
    <x v="2"/>
    <x v="2"/>
    <x v="0"/>
  </r>
  <r>
    <x v="147"/>
    <n v="61"/>
    <x v="3"/>
    <n v="2000"/>
    <n v="210"/>
    <n v="3.0499999999999999E-2"/>
    <x v="2"/>
    <x v="1"/>
    <x v="1"/>
  </r>
  <r>
    <x v="148"/>
    <n v="62"/>
    <x v="4"/>
    <n v="2000"/>
    <n v="430"/>
    <n v="3.1E-2"/>
    <x v="2"/>
    <x v="1"/>
    <x v="0"/>
  </r>
  <r>
    <x v="149"/>
    <n v="63"/>
    <x v="5"/>
    <n v="2000"/>
    <n v="125"/>
    <n v="3.15E-2"/>
    <x v="2"/>
    <x v="1"/>
    <x v="1"/>
  </r>
  <r>
    <x v="150"/>
    <n v="64"/>
    <x v="6"/>
    <n v="2000"/>
    <n v="680"/>
    <n v="3.2000000000000001E-2"/>
    <x v="2"/>
    <x v="0"/>
    <x v="0"/>
  </r>
  <r>
    <x v="151"/>
    <n v="65"/>
    <x v="7"/>
    <n v="2000"/>
    <n v="250"/>
    <n v="3.2500000000000001E-2"/>
    <x v="2"/>
    <x v="1"/>
    <x v="1"/>
  </r>
  <r>
    <x v="152"/>
    <n v="66"/>
    <x v="8"/>
    <n v="2000"/>
    <n v="890"/>
    <n v="3.3000000000000002E-2"/>
    <x v="2"/>
    <x v="2"/>
    <x v="0"/>
  </r>
  <r>
    <x v="153"/>
    <n v="67"/>
    <x v="0"/>
    <n v="2000"/>
    <n v="340"/>
    <n v="3.3500000000000002E-2"/>
    <x v="2"/>
    <x v="1"/>
    <x v="1"/>
  </r>
  <r>
    <x v="154"/>
    <n v="68"/>
    <x v="1"/>
    <n v="2000"/>
    <n v="275"/>
    <n v="3.4000000000000002E-2"/>
    <x v="2"/>
    <x v="1"/>
    <x v="0"/>
  </r>
  <r>
    <x v="155"/>
    <n v="69"/>
    <x v="2"/>
    <n v="2000"/>
    <n v="600"/>
    <n v="3.4500000000000003E-2"/>
    <x v="2"/>
    <x v="0"/>
    <x v="1"/>
  </r>
  <r>
    <x v="156"/>
    <n v="48"/>
    <x v="3"/>
    <n v="2000"/>
    <n v="115"/>
    <n v="2.4E-2"/>
    <x v="1"/>
    <x v="1"/>
    <x v="0"/>
  </r>
  <r>
    <x v="157"/>
    <n v="49"/>
    <x v="4"/>
    <n v="2000"/>
    <n v="920"/>
    <n v="2.4500000000000001E-2"/>
    <x v="1"/>
    <x v="2"/>
    <x v="1"/>
  </r>
  <r>
    <x v="158"/>
    <n v="50"/>
    <x v="5"/>
    <n v="2000"/>
    <n v="190"/>
    <n v="2.5000000000000001E-2"/>
    <x v="2"/>
    <x v="1"/>
    <x v="0"/>
  </r>
  <r>
    <x v="159"/>
    <n v="41"/>
    <x v="6"/>
    <n v="2000"/>
    <n v="290"/>
    <n v="2.0500000000000001E-2"/>
    <x v="1"/>
    <x v="1"/>
    <x v="1"/>
  </r>
  <r>
    <x v="160"/>
    <n v="42"/>
    <x v="7"/>
    <n v="2000"/>
    <n v="610"/>
    <n v="2.1000000000000001E-2"/>
    <x v="1"/>
    <x v="0"/>
    <x v="0"/>
  </r>
  <r>
    <x v="161"/>
    <n v="43"/>
    <x v="8"/>
    <n v="2000"/>
    <n v="120"/>
    <n v="2.1499999999999998E-2"/>
    <x v="1"/>
    <x v="1"/>
    <x v="1"/>
  </r>
  <r>
    <x v="162"/>
    <n v="44"/>
    <x v="0"/>
    <n v="2000"/>
    <n v="480"/>
    <n v="2.1999999999999999E-2"/>
    <x v="1"/>
    <x v="1"/>
    <x v="0"/>
  </r>
  <r>
    <x v="163"/>
    <n v="38"/>
    <x v="1"/>
    <n v="2000"/>
    <n v="150"/>
    <n v="1.9E-2"/>
    <x v="1"/>
    <x v="1"/>
    <x v="1"/>
  </r>
  <r>
    <x v="164"/>
    <n v="39"/>
    <x v="2"/>
    <n v="2000"/>
    <n v="720"/>
    <n v="1.95E-2"/>
    <x v="1"/>
    <x v="2"/>
    <x v="0"/>
  </r>
  <r>
    <x v="165"/>
    <n v="40"/>
    <x v="3"/>
    <n v="2000"/>
    <n v="500"/>
    <n v="0.02"/>
    <x v="1"/>
    <x v="0"/>
    <x v="1"/>
  </r>
  <r>
    <x v="166"/>
    <n v="41"/>
    <x v="4"/>
    <n v="2000"/>
    <n v="600"/>
    <n v="2.0500000000000001E-2"/>
    <x v="1"/>
    <x v="0"/>
    <x v="0"/>
  </r>
  <r>
    <x v="167"/>
    <n v="42"/>
    <x v="5"/>
    <n v="2000"/>
    <n v="700"/>
    <n v="2.1000000000000001E-2"/>
    <x v="1"/>
    <x v="2"/>
    <x v="1"/>
  </r>
  <r>
    <x v="168"/>
    <n v="43"/>
    <x v="6"/>
    <n v="2000"/>
    <n v="800"/>
    <n v="2.1499999999999998E-2"/>
    <x v="1"/>
    <x v="2"/>
    <x v="0"/>
  </r>
  <r>
    <x v="169"/>
    <n v="44"/>
    <x v="7"/>
    <n v="2000"/>
    <n v="900"/>
    <n v="2.1999999999999999E-2"/>
    <x v="1"/>
    <x v="2"/>
    <x v="1"/>
  </r>
  <r>
    <x v="170"/>
    <n v="45"/>
    <x v="8"/>
    <n v="2000"/>
    <n v="680"/>
    <n v="2.2499999999999999E-2"/>
    <x v="1"/>
    <x v="0"/>
    <x v="0"/>
  </r>
  <r>
    <x v="171"/>
    <n v="46"/>
    <x v="0"/>
    <n v="2000"/>
    <n v="250"/>
    <n v="2.3E-2"/>
    <x v="1"/>
    <x v="1"/>
    <x v="1"/>
  </r>
  <r>
    <x v="172"/>
    <n v="47"/>
    <x v="1"/>
    <n v="2000"/>
    <n v="890"/>
    <n v="2.35E-2"/>
    <x v="1"/>
    <x v="2"/>
    <x v="0"/>
  </r>
  <r>
    <x v="173"/>
    <n v="48"/>
    <x v="2"/>
    <n v="2000"/>
    <n v="340"/>
    <n v="2.4E-2"/>
    <x v="1"/>
    <x v="1"/>
    <x v="1"/>
  </r>
  <r>
    <x v="174"/>
    <n v="49"/>
    <x v="3"/>
    <n v="2000"/>
    <n v="275"/>
    <n v="2.4500000000000001E-2"/>
    <x v="1"/>
    <x v="1"/>
    <x v="0"/>
  </r>
  <r>
    <x v="175"/>
    <n v="50"/>
    <x v="4"/>
    <n v="2000"/>
    <n v="600"/>
    <n v="2.5000000000000001E-2"/>
    <x v="2"/>
    <x v="0"/>
    <x v="1"/>
  </r>
  <r>
    <x v="176"/>
    <n v="51"/>
    <x v="5"/>
    <n v="2000"/>
    <n v="115"/>
    <n v="2.5499999999999998E-2"/>
    <x v="2"/>
    <x v="1"/>
    <x v="0"/>
  </r>
  <r>
    <x v="177"/>
    <n v="52"/>
    <x v="6"/>
    <n v="2000"/>
    <n v="920"/>
    <n v="2.5999999999999999E-2"/>
    <x v="2"/>
    <x v="2"/>
    <x v="1"/>
  </r>
  <r>
    <x v="178"/>
    <n v="53"/>
    <x v="7"/>
    <n v="2000"/>
    <n v="190"/>
    <n v="2.6499999999999999E-2"/>
    <x v="2"/>
    <x v="1"/>
    <x v="0"/>
  </r>
  <r>
    <x v="179"/>
    <n v="54"/>
    <x v="8"/>
    <n v="2000"/>
    <n v="290"/>
    <n v="2.7E-2"/>
    <x v="2"/>
    <x v="1"/>
    <x v="1"/>
  </r>
  <r>
    <x v="180"/>
    <n v="55"/>
    <x v="0"/>
    <n v="2000"/>
    <n v="610"/>
    <n v="2.75E-2"/>
    <x v="2"/>
    <x v="0"/>
    <x v="0"/>
  </r>
  <r>
    <x v="181"/>
    <n v="56"/>
    <x v="1"/>
    <n v="2000"/>
    <n v="120"/>
    <n v="2.8000000000000001E-2"/>
    <x v="2"/>
    <x v="1"/>
    <x v="1"/>
  </r>
  <r>
    <x v="182"/>
    <n v="57"/>
    <x v="2"/>
    <n v="2000"/>
    <n v="480"/>
    <n v="2.8500000000000001E-2"/>
    <x v="2"/>
    <x v="1"/>
    <x v="0"/>
  </r>
  <r>
    <x v="183"/>
    <n v="58"/>
    <x v="3"/>
    <n v="2000"/>
    <n v="150"/>
    <n v="2.9000000000000001E-2"/>
    <x v="2"/>
    <x v="1"/>
    <x v="1"/>
  </r>
  <r>
    <x v="184"/>
    <n v="59"/>
    <x v="4"/>
    <n v="2000"/>
    <n v="720"/>
    <n v="2.9499999999999998E-2"/>
    <x v="2"/>
    <x v="2"/>
    <x v="0"/>
  </r>
  <r>
    <x v="185"/>
    <n v="60"/>
    <x v="5"/>
    <n v="2000"/>
    <n v="880"/>
    <n v="0.03"/>
    <x v="2"/>
    <x v="2"/>
    <x v="1"/>
  </r>
  <r>
    <x v="186"/>
    <n v="61"/>
    <x v="6"/>
    <n v="2000"/>
    <n v="105"/>
    <n v="3.0499999999999999E-2"/>
    <x v="2"/>
    <x v="1"/>
    <x v="0"/>
  </r>
  <r>
    <x v="187"/>
    <n v="62"/>
    <x v="7"/>
    <n v="2000"/>
    <n v="550"/>
    <n v="3.1E-2"/>
    <x v="2"/>
    <x v="0"/>
    <x v="1"/>
  </r>
  <r>
    <x v="188"/>
    <n v="63"/>
    <x v="8"/>
    <n v="2000"/>
    <n v="145"/>
    <n v="3.15E-2"/>
    <x v="2"/>
    <x v="1"/>
    <x v="0"/>
  </r>
  <r>
    <x v="189"/>
    <n v="64"/>
    <x v="0"/>
    <n v="2000"/>
    <n v="680"/>
    <n v="3.2000000000000001E-2"/>
    <x v="2"/>
    <x v="0"/>
    <x v="1"/>
  </r>
  <r>
    <x v="190"/>
    <n v="65"/>
    <x v="1"/>
    <n v="2000"/>
    <n v="250"/>
    <n v="3.2500000000000001E-2"/>
    <x v="2"/>
    <x v="1"/>
    <x v="0"/>
  </r>
  <r>
    <x v="191"/>
    <n v="66"/>
    <x v="2"/>
    <n v="2000"/>
    <n v="890"/>
    <n v="3.3000000000000002E-2"/>
    <x v="2"/>
    <x v="2"/>
    <x v="1"/>
  </r>
  <r>
    <x v="192"/>
    <n v="67"/>
    <x v="3"/>
    <n v="2000"/>
    <n v="340"/>
    <n v="3.3500000000000002E-2"/>
    <x v="2"/>
    <x v="1"/>
    <x v="0"/>
  </r>
  <r>
    <x v="193"/>
    <n v="68"/>
    <x v="4"/>
    <n v="2000"/>
    <n v="275"/>
    <n v="3.4000000000000002E-2"/>
    <x v="2"/>
    <x v="1"/>
    <x v="1"/>
  </r>
  <r>
    <x v="194"/>
    <n v="69"/>
    <x v="5"/>
    <n v="2000"/>
    <n v="600"/>
    <n v="3.4500000000000003E-2"/>
    <x v="2"/>
    <x v="0"/>
    <x v="0"/>
  </r>
  <r>
    <x v="195"/>
    <n v="47"/>
    <x v="6"/>
    <n v="2000"/>
    <n v="115"/>
    <n v="2.35E-2"/>
    <x v="1"/>
    <x v="1"/>
    <x v="1"/>
  </r>
  <r>
    <x v="196"/>
    <n v="48"/>
    <x v="7"/>
    <n v="2000"/>
    <n v="920"/>
    <n v="2.4E-2"/>
    <x v="1"/>
    <x v="2"/>
    <x v="0"/>
  </r>
  <r>
    <x v="197"/>
    <n v="49"/>
    <x v="8"/>
    <n v="2000"/>
    <n v="190"/>
    <n v="2.4500000000000001E-2"/>
    <x v="1"/>
    <x v="1"/>
    <x v="1"/>
  </r>
  <r>
    <x v="198"/>
    <n v="50"/>
    <x v="0"/>
    <n v="2000"/>
    <n v="290"/>
    <n v="2.5000000000000001E-2"/>
    <x v="2"/>
    <x v="1"/>
    <x v="0"/>
  </r>
  <r>
    <x v="199"/>
    <n v="41"/>
    <x v="1"/>
    <n v="2000"/>
    <n v="610"/>
    <n v="2.0500000000000001E-2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86C3E-2CEA-4A1D-829F-3EFC24A4201F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004" firstHeaderRow="0" firstDataRow="1" firstDataCol="5"/>
  <pivotFields count="9">
    <pivotField axis="axisRow" compact="0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outline="0" showAll="0"/>
    <pivotField axis="axisRow" compact="0" outline="0" showAll="0">
      <items count="10">
        <item x="0"/>
        <item x="2"/>
        <item x="7"/>
        <item x="4"/>
        <item x="8"/>
        <item x="3"/>
        <item x="6"/>
        <item x="5"/>
        <item x="1"/>
        <item t="default"/>
      </items>
    </pivotField>
    <pivotField dataField="1" compact="0" outline="0" showAll="0"/>
    <pivotField dataField="1" compact="0" outline="0" showAll="0"/>
    <pivotField dataField="1" compact="0" numFmtId="9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5">
    <field x="0"/>
    <field x="8"/>
    <field x="2"/>
    <field x="6"/>
    <field x="7"/>
  </rowFields>
  <rowItems count="1001">
    <i>
      <x/>
      <x/>
      <x/>
      <x/>
      <x/>
    </i>
    <i t="default" r="3">
      <x/>
    </i>
    <i t="default" r="2">
      <x/>
    </i>
    <i t="default" r="1">
      <x/>
    </i>
    <i t="default">
      <x/>
    </i>
    <i>
      <x v="1"/>
      <x v="1"/>
      <x v="8"/>
      <x v="1"/>
      <x v="2"/>
    </i>
    <i t="default" r="3">
      <x v="1"/>
    </i>
    <i t="default" r="2">
      <x v="8"/>
    </i>
    <i t="default" r="1">
      <x v="1"/>
    </i>
    <i t="default">
      <x v="1"/>
    </i>
    <i>
      <x v="2"/>
      <x/>
      <x v="1"/>
      <x v="1"/>
      <x v="2"/>
    </i>
    <i t="default" r="3">
      <x v="1"/>
    </i>
    <i t="default" r="2">
      <x v="1"/>
    </i>
    <i t="default" r="1">
      <x/>
    </i>
    <i t="default">
      <x v="2"/>
    </i>
    <i>
      <x v="3"/>
      <x v="1"/>
      <x v="5"/>
      <x v="1"/>
      <x/>
    </i>
    <i t="default" r="3">
      <x v="1"/>
    </i>
    <i t="default" r="2">
      <x v="5"/>
    </i>
    <i t="default" r="1">
      <x v="1"/>
    </i>
    <i t="default">
      <x v="3"/>
    </i>
    <i>
      <x v="4"/>
      <x/>
      <x v="3"/>
      <x v="1"/>
      <x v="2"/>
    </i>
    <i t="default" r="3">
      <x v="1"/>
    </i>
    <i t="default" r="2">
      <x v="3"/>
    </i>
    <i t="default" r="1">
      <x/>
    </i>
    <i t="default">
      <x v="4"/>
    </i>
    <i>
      <x v="5"/>
      <x v="1"/>
      <x v="7"/>
      <x v="1"/>
      <x/>
    </i>
    <i t="default" r="3">
      <x v="1"/>
    </i>
    <i t="default" r="2">
      <x v="7"/>
    </i>
    <i t="default" r="1">
      <x v="1"/>
    </i>
    <i t="default">
      <x v="5"/>
    </i>
    <i>
      <x v="6"/>
      <x/>
      <x v="6"/>
      <x v="1"/>
      <x v="2"/>
    </i>
    <i t="default" r="3">
      <x v="1"/>
    </i>
    <i t="default" r="2">
      <x v="6"/>
    </i>
    <i t="default" r="1">
      <x/>
    </i>
    <i t="default">
      <x v="6"/>
    </i>
    <i>
      <x v="7"/>
      <x v="1"/>
      <x v="2"/>
      <x v="1"/>
      <x v="2"/>
    </i>
    <i t="default" r="3">
      <x v="1"/>
    </i>
    <i t="default" r="2">
      <x v="2"/>
    </i>
    <i t="default" r="1">
      <x v="1"/>
    </i>
    <i t="default">
      <x v="7"/>
    </i>
    <i>
      <x v="8"/>
      <x/>
      <x v="4"/>
      <x v="1"/>
      <x v="2"/>
    </i>
    <i t="default" r="3">
      <x v="1"/>
    </i>
    <i t="default" r="2">
      <x v="4"/>
    </i>
    <i t="default" r="1">
      <x/>
    </i>
    <i t="default">
      <x v="8"/>
    </i>
    <i>
      <x v="9"/>
      <x v="1"/>
      <x/>
      <x v="1"/>
      <x v="1"/>
    </i>
    <i t="default" r="3">
      <x v="1"/>
    </i>
    <i t="default" r="2">
      <x/>
    </i>
    <i t="default" r="1">
      <x v="1"/>
    </i>
    <i t="default">
      <x v="9"/>
    </i>
    <i>
      <x v="10"/>
      <x/>
      <x v="8"/>
      <x v="1"/>
      <x v="2"/>
    </i>
    <i t="default" r="3">
      <x v="1"/>
    </i>
    <i t="default" r="2">
      <x v="8"/>
    </i>
    <i t="default" r="1">
      <x/>
    </i>
    <i t="default">
      <x v="10"/>
    </i>
    <i>
      <x v="11"/>
      <x v="1"/>
      <x v="1"/>
      <x v="1"/>
      <x v="2"/>
    </i>
    <i t="default" r="3">
      <x v="1"/>
    </i>
    <i t="default" r="2">
      <x v="1"/>
    </i>
    <i t="default" r="1">
      <x v="1"/>
    </i>
    <i t="default">
      <x v="11"/>
    </i>
    <i>
      <x v="12"/>
      <x/>
      <x v="5"/>
      <x v="1"/>
      <x/>
    </i>
    <i t="default" r="3">
      <x v="1"/>
    </i>
    <i t="default" r="2">
      <x v="5"/>
    </i>
    <i t="default" r="1">
      <x/>
    </i>
    <i t="default">
      <x v="12"/>
    </i>
    <i>
      <x v="13"/>
      <x v="1"/>
      <x v="3"/>
      <x v="1"/>
      <x v="2"/>
    </i>
    <i t="default" r="3">
      <x v="1"/>
    </i>
    <i t="default" r="2">
      <x v="3"/>
    </i>
    <i t="default" r="1">
      <x v="1"/>
    </i>
    <i t="default">
      <x v="13"/>
    </i>
    <i>
      <x v="14"/>
      <x/>
      <x v="7"/>
      <x v="1"/>
      <x v="1"/>
    </i>
    <i t="default" r="3">
      <x v="1"/>
    </i>
    <i t="default" r="2">
      <x v="7"/>
    </i>
    <i t="default" r="1">
      <x/>
    </i>
    <i t="default">
      <x v="14"/>
    </i>
    <i>
      <x v="15"/>
      <x v="1"/>
      <x v="6"/>
      <x v="1"/>
      <x v="2"/>
    </i>
    <i t="default" r="3">
      <x v="1"/>
    </i>
    <i t="default" r="2">
      <x v="6"/>
    </i>
    <i t="default" r="1">
      <x v="1"/>
    </i>
    <i t="default">
      <x v="15"/>
    </i>
    <i>
      <x v="16"/>
      <x/>
      <x v="2"/>
      <x v="1"/>
      <x v="2"/>
    </i>
    <i t="default" r="3">
      <x v="1"/>
    </i>
    <i t="default" r="2">
      <x v="2"/>
    </i>
    <i t="default" r="1">
      <x/>
    </i>
    <i t="default">
      <x v="16"/>
    </i>
    <i>
      <x v="17"/>
      <x v="1"/>
      <x v="4"/>
      <x v="1"/>
      <x v="2"/>
    </i>
    <i t="default" r="3">
      <x v="1"/>
    </i>
    <i t="default" r="2">
      <x v="4"/>
    </i>
    <i t="default" r="1">
      <x v="1"/>
    </i>
    <i t="default">
      <x v="17"/>
    </i>
    <i>
      <x v="18"/>
      <x/>
      <x/>
      <x v="1"/>
      <x v="2"/>
    </i>
    <i t="default" r="3">
      <x v="1"/>
    </i>
    <i t="default" r="2">
      <x/>
    </i>
    <i t="default" r="1">
      <x/>
    </i>
    <i t="default">
      <x v="18"/>
    </i>
    <i>
      <x v="19"/>
      <x v="1"/>
      <x v="8"/>
      <x v="1"/>
      <x v="1"/>
    </i>
    <i t="default" r="3">
      <x v="1"/>
    </i>
    <i t="default" r="2">
      <x v="8"/>
    </i>
    <i t="default" r="1">
      <x v="1"/>
    </i>
    <i t="default">
      <x v="19"/>
    </i>
    <i>
      <x v="20"/>
      <x/>
      <x v="1"/>
      <x v="1"/>
      <x v="2"/>
    </i>
    <i t="default" r="3">
      <x v="1"/>
    </i>
    <i t="default" r="2">
      <x v="1"/>
    </i>
    <i t="default" r="1">
      <x/>
    </i>
    <i t="default">
      <x v="20"/>
    </i>
    <i>
      <x v="21"/>
      <x v="1"/>
      <x v="5"/>
      <x v="1"/>
      <x v="2"/>
    </i>
    <i t="default" r="3">
      <x v="1"/>
    </i>
    <i t="default" r="2">
      <x v="5"/>
    </i>
    <i t="default" r="1">
      <x v="1"/>
    </i>
    <i t="default">
      <x v="21"/>
    </i>
    <i>
      <x v="22"/>
      <x/>
      <x v="3"/>
      <x v="1"/>
      <x v="1"/>
    </i>
    <i t="default" r="3">
      <x v="1"/>
    </i>
    <i t="default" r="2">
      <x v="3"/>
    </i>
    <i t="default" r="1">
      <x/>
    </i>
    <i t="default">
      <x v="22"/>
    </i>
    <i>
      <x v="23"/>
      <x v="1"/>
      <x v="7"/>
      <x v="1"/>
      <x v="2"/>
    </i>
    <i t="default" r="3">
      <x v="1"/>
    </i>
    <i t="default" r="2">
      <x v="7"/>
    </i>
    <i t="default" r="1">
      <x v="1"/>
    </i>
    <i t="default">
      <x v="23"/>
    </i>
    <i>
      <x v="24"/>
      <x/>
      <x v="6"/>
      <x v="1"/>
      <x v="2"/>
    </i>
    <i t="default" r="3">
      <x v="1"/>
    </i>
    <i t="default" r="2">
      <x v="6"/>
    </i>
    <i t="default" r="1">
      <x/>
    </i>
    <i t="default">
      <x v="24"/>
    </i>
    <i>
      <x v="25"/>
      <x v="1"/>
      <x v="2"/>
      <x v="2"/>
      <x v="2"/>
    </i>
    <i t="default" r="3">
      <x v="2"/>
    </i>
    <i t="default" r="2">
      <x v="2"/>
    </i>
    <i t="default" r="1">
      <x v="1"/>
    </i>
    <i t="default">
      <x v="25"/>
    </i>
    <i>
      <x v="26"/>
      <x/>
      <x v="4"/>
      <x v="2"/>
      <x/>
    </i>
    <i t="default" r="3">
      <x v="2"/>
    </i>
    <i t="default" r="2">
      <x v="4"/>
    </i>
    <i t="default" r="1">
      <x/>
    </i>
    <i t="default">
      <x v="26"/>
    </i>
    <i>
      <x v="27"/>
      <x v="1"/>
      <x/>
      <x v="2"/>
      <x v="2"/>
    </i>
    <i t="default" r="3">
      <x v="2"/>
    </i>
    <i t="default" r="2">
      <x/>
    </i>
    <i t="default" r="1">
      <x v="1"/>
    </i>
    <i t="default">
      <x v="27"/>
    </i>
    <i>
      <x v="28"/>
      <x/>
      <x v="8"/>
      <x v="2"/>
      <x v="2"/>
    </i>
    <i t="default" r="3">
      <x v="2"/>
    </i>
    <i t="default" r="2">
      <x v="8"/>
    </i>
    <i t="default" r="1">
      <x/>
    </i>
    <i t="default">
      <x v="28"/>
    </i>
    <i>
      <x v="29"/>
      <x v="1"/>
      <x v="1"/>
      <x v="2"/>
      <x v="1"/>
    </i>
    <i t="default" r="3">
      <x v="2"/>
    </i>
    <i t="default" r="2">
      <x v="1"/>
    </i>
    <i t="default" r="1">
      <x v="1"/>
    </i>
    <i t="default">
      <x v="29"/>
    </i>
    <i>
      <x v="30"/>
      <x/>
      <x v="5"/>
      <x v="2"/>
      <x v="2"/>
    </i>
    <i t="default" r="3">
      <x v="2"/>
    </i>
    <i t="default" r="2">
      <x v="5"/>
    </i>
    <i t="default" r="1">
      <x/>
    </i>
    <i t="default">
      <x v="30"/>
    </i>
    <i>
      <x v="31"/>
      <x v="1"/>
      <x v="3"/>
      <x v="2"/>
      <x v="2"/>
    </i>
    <i t="default" r="3">
      <x v="2"/>
    </i>
    <i t="default" r="2">
      <x v="3"/>
    </i>
    <i t="default" r="1">
      <x v="1"/>
    </i>
    <i t="default">
      <x v="31"/>
    </i>
    <i>
      <x v="32"/>
      <x/>
      <x v="7"/>
      <x v="2"/>
      <x/>
    </i>
    <i t="default" r="3">
      <x v="2"/>
    </i>
    <i t="default" r="2">
      <x v="7"/>
    </i>
    <i t="default" r="1">
      <x/>
    </i>
    <i t="default">
      <x v="32"/>
    </i>
    <i>
      <x v="33"/>
      <x v="1"/>
      <x v="6"/>
      <x v="2"/>
      <x v="2"/>
    </i>
    <i t="default" r="3">
      <x v="2"/>
    </i>
    <i t="default" r="2">
      <x v="6"/>
    </i>
    <i t="default" r="1">
      <x v="1"/>
    </i>
    <i t="default">
      <x v="33"/>
    </i>
    <i>
      <x v="34"/>
      <x/>
      <x v="2"/>
      <x v="2"/>
      <x v="1"/>
    </i>
    <i t="default" r="3">
      <x v="2"/>
    </i>
    <i t="default" r="2">
      <x v="2"/>
    </i>
    <i t="default" r="1">
      <x/>
    </i>
    <i t="default">
      <x v="34"/>
    </i>
    <i>
      <x v="35"/>
      <x v="1"/>
      <x v="4"/>
      <x v="2"/>
      <x v="2"/>
    </i>
    <i t="default" r="3">
      <x v="2"/>
    </i>
    <i t="default" r="2">
      <x v="4"/>
    </i>
    <i t="default" r="1">
      <x v="1"/>
    </i>
    <i t="default">
      <x v="35"/>
    </i>
    <i>
      <x v="36"/>
      <x/>
      <x/>
      <x v="2"/>
      <x v="2"/>
    </i>
    <i t="default" r="3">
      <x v="2"/>
    </i>
    <i t="default" r="2">
      <x/>
    </i>
    <i t="default" r="1">
      <x/>
    </i>
    <i t="default">
      <x v="36"/>
    </i>
    <i>
      <x v="37"/>
      <x v="1"/>
      <x v="8"/>
      <x v="2"/>
      <x v="2"/>
    </i>
    <i t="default" r="3">
      <x v="2"/>
    </i>
    <i t="default" r="2">
      <x v="8"/>
    </i>
    <i t="default" r="1">
      <x v="1"/>
    </i>
    <i t="default">
      <x v="37"/>
    </i>
    <i>
      <x v="38"/>
      <x/>
      <x v="1"/>
      <x v="2"/>
      <x v="1"/>
    </i>
    <i t="default" r="3">
      <x v="2"/>
    </i>
    <i t="default" r="2">
      <x v="1"/>
    </i>
    <i t="default" r="1">
      <x/>
    </i>
    <i t="default">
      <x v="38"/>
    </i>
    <i>
      <x v="39"/>
      <x v="1"/>
      <x v="5"/>
      <x v="2"/>
      <x v="2"/>
    </i>
    <i t="default" r="3">
      <x v="2"/>
    </i>
    <i t="default" r="2">
      <x v="5"/>
    </i>
    <i t="default" r="1">
      <x v="1"/>
    </i>
    <i t="default">
      <x v="39"/>
    </i>
    <i>
      <x v="40"/>
      <x/>
      <x v="3"/>
      <x v="2"/>
      <x/>
    </i>
    <i t="default" r="3">
      <x v="2"/>
    </i>
    <i t="default" r="2">
      <x v="3"/>
    </i>
    <i t="default" r="1">
      <x/>
    </i>
    <i t="default">
      <x v="40"/>
    </i>
    <i>
      <x v="41"/>
      <x v="1"/>
      <x v="7"/>
      <x v="2"/>
      <x v="2"/>
    </i>
    <i t="default" r="3">
      <x v="2"/>
    </i>
    <i t="default" r="2">
      <x v="7"/>
    </i>
    <i t="default" r="1">
      <x v="1"/>
    </i>
    <i t="default">
      <x v="41"/>
    </i>
    <i>
      <x v="42"/>
      <x/>
      <x v="6"/>
      <x v="2"/>
      <x v="2"/>
    </i>
    <i t="default" r="3">
      <x v="2"/>
    </i>
    <i t="default" r="2">
      <x v="6"/>
    </i>
    <i t="default" r="1">
      <x/>
    </i>
    <i t="default">
      <x v="42"/>
    </i>
    <i>
      <x v="43"/>
      <x v="1"/>
      <x v="2"/>
      <x v="2"/>
      <x v="2"/>
    </i>
    <i t="default" r="3">
      <x v="2"/>
    </i>
    <i t="default" r="2">
      <x v="2"/>
    </i>
    <i t="default" r="1">
      <x v="1"/>
    </i>
    <i t="default">
      <x v="43"/>
    </i>
    <i>
      <x v="44"/>
      <x/>
      <x v="4"/>
      <x v="2"/>
      <x v="1"/>
    </i>
    <i t="default" r="3">
      <x v="2"/>
    </i>
    <i t="default" r="2">
      <x v="4"/>
    </i>
    <i t="default" r="1">
      <x/>
    </i>
    <i t="default">
      <x v="44"/>
    </i>
    <i>
      <x v="45"/>
      <x v="1"/>
      <x/>
      <x/>
      <x v="2"/>
    </i>
    <i t="default" r="3">
      <x/>
    </i>
    <i t="default" r="2">
      <x/>
    </i>
    <i t="default" r="1">
      <x v="1"/>
    </i>
    <i t="default">
      <x v="45"/>
    </i>
    <i>
      <x v="46"/>
      <x/>
      <x v="8"/>
      <x v="1"/>
      <x v="2"/>
    </i>
    <i t="default" r="3">
      <x v="1"/>
    </i>
    <i t="default" r="2">
      <x v="8"/>
    </i>
    <i t="default" r="1">
      <x/>
    </i>
    <i t="default">
      <x v="46"/>
    </i>
    <i>
      <x v="47"/>
      <x v="1"/>
      <x v="1"/>
      <x/>
      <x v="2"/>
    </i>
    <i t="default" r="3">
      <x/>
    </i>
    <i t="default" r="2">
      <x v="1"/>
    </i>
    <i t="default" r="1">
      <x v="1"/>
    </i>
    <i t="default">
      <x v="47"/>
    </i>
    <i>
      <x v="48"/>
      <x/>
      <x v="5"/>
      <x v="2"/>
      <x/>
    </i>
    <i t="default" r="3">
      <x v="2"/>
    </i>
    <i t="default" r="2">
      <x v="5"/>
    </i>
    <i t="default" r="1">
      <x/>
    </i>
    <i t="default">
      <x v="48"/>
    </i>
    <i>
      <x v="49"/>
      <x v="1"/>
      <x v="3"/>
      <x/>
      <x v="2"/>
    </i>
    <i t="default" r="3">
      <x/>
    </i>
    <i t="default" r="2">
      <x v="3"/>
    </i>
    <i t="default" r="1">
      <x v="1"/>
    </i>
    <i t="default">
      <x v="49"/>
    </i>
    <i>
      <x v="50"/>
      <x/>
      <x v="7"/>
      <x/>
      <x v="1"/>
    </i>
    <i t="default" r="3">
      <x/>
    </i>
    <i t="default" r="2">
      <x v="7"/>
    </i>
    <i t="default" r="1">
      <x/>
    </i>
    <i t="default">
      <x v="50"/>
    </i>
    <i>
      <x v="51"/>
      <x v="1"/>
      <x v="6"/>
      <x/>
      <x v="2"/>
    </i>
    <i t="default" r="3">
      <x/>
    </i>
    <i t="default" r="2">
      <x v="6"/>
    </i>
    <i t="default" r="1">
      <x v="1"/>
    </i>
    <i t="default">
      <x v="51"/>
    </i>
    <i>
      <x v="52"/>
      <x/>
      <x v="2"/>
      <x/>
      <x v="2"/>
    </i>
    <i t="default" r="3">
      <x/>
    </i>
    <i t="default" r="2">
      <x v="2"/>
    </i>
    <i t="default" r="1">
      <x/>
    </i>
    <i t="default">
      <x v="52"/>
    </i>
    <i>
      <x v="53"/>
      <x v="1"/>
      <x v="4"/>
      <x/>
      <x/>
    </i>
    <i t="default" r="3">
      <x/>
    </i>
    <i t="default" r="2">
      <x v="4"/>
    </i>
    <i t="default" r="1">
      <x v="1"/>
    </i>
    <i t="default">
      <x v="53"/>
    </i>
    <i>
      <x v="54"/>
      <x/>
      <x/>
      <x/>
      <x v="2"/>
    </i>
    <i t="default" r="3">
      <x/>
    </i>
    <i t="default" r="2">
      <x/>
    </i>
    <i t="default" r="1">
      <x/>
    </i>
    <i t="default">
      <x v="54"/>
    </i>
    <i>
      <x v="55"/>
      <x v="1"/>
      <x v="8"/>
      <x/>
      <x v="1"/>
    </i>
    <i t="default" r="3">
      <x/>
    </i>
    <i t="default" r="2">
      <x v="8"/>
    </i>
    <i t="default" r="1">
      <x v="1"/>
    </i>
    <i t="default">
      <x v="55"/>
    </i>
    <i>
      <x v="56"/>
      <x/>
      <x v="1"/>
      <x/>
      <x v="2"/>
    </i>
    <i t="default" r="3">
      <x/>
    </i>
    <i t="default" r="2">
      <x v="1"/>
    </i>
    <i t="default" r="1">
      <x/>
    </i>
    <i t="default">
      <x v="56"/>
    </i>
    <i>
      <x v="57"/>
      <x v="1"/>
      <x v="5"/>
      <x/>
      <x v="2"/>
    </i>
    <i t="default" r="3">
      <x/>
    </i>
    <i t="default" r="2">
      <x v="5"/>
    </i>
    <i t="default" r="1">
      <x v="1"/>
    </i>
    <i t="default">
      <x v="57"/>
    </i>
    <i>
      <x v="58"/>
      <x/>
      <x v="3"/>
      <x/>
      <x/>
    </i>
    <i t="default" r="3">
      <x/>
    </i>
    <i t="default" r="2">
      <x v="3"/>
    </i>
    <i t="default" r="1">
      <x/>
    </i>
    <i t="default">
      <x v="58"/>
    </i>
    <i>
      <x v="59"/>
      <x v="1"/>
      <x v="7"/>
      <x/>
      <x v="2"/>
    </i>
    <i t="default" r="3">
      <x/>
    </i>
    <i t="default" r="2">
      <x v="7"/>
    </i>
    <i t="default" r="1">
      <x v="1"/>
    </i>
    <i t="default">
      <x v="59"/>
    </i>
    <i>
      <x v="60"/>
      <x/>
      <x v="6"/>
      <x/>
      <x v="2"/>
    </i>
    <i t="default" r="3">
      <x/>
    </i>
    <i t="default" r="2">
      <x v="6"/>
    </i>
    <i t="default" r="1">
      <x/>
    </i>
    <i t="default">
      <x v="60"/>
    </i>
    <i>
      <x v="61"/>
      <x v="1"/>
      <x v="2"/>
      <x/>
      <x v="2"/>
    </i>
    <i t="default" r="3">
      <x/>
    </i>
    <i t="default" r="2">
      <x v="2"/>
    </i>
    <i t="default" r="1">
      <x v="1"/>
    </i>
    <i t="default">
      <x v="61"/>
    </i>
    <i>
      <x v="62"/>
      <x/>
      <x v="4"/>
      <x/>
      <x v="1"/>
    </i>
    <i t="default" r="3">
      <x/>
    </i>
    <i t="default" r="2">
      <x v="4"/>
    </i>
    <i t="default" r="1">
      <x/>
    </i>
    <i t="default">
      <x v="62"/>
    </i>
    <i>
      <x v="63"/>
      <x v="1"/>
      <x/>
      <x/>
      <x v="2"/>
    </i>
    <i t="default" r="3">
      <x/>
    </i>
    <i t="default" r="2">
      <x/>
    </i>
    <i t="default" r="1">
      <x v="1"/>
    </i>
    <i t="default">
      <x v="63"/>
    </i>
    <i>
      <x v="64"/>
      <x/>
      <x v="8"/>
      <x/>
      <x v="2"/>
    </i>
    <i t="default" r="3">
      <x/>
    </i>
    <i t="default" r="2">
      <x v="8"/>
    </i>
    <i t="default" r="1">
      <x/>
    </i>
    <i t="default">
      <x v="64"/>
    </i>
    <i>
      <x v="65"/>
      <x v="1"/>
      <x v="1"/>
      <x/>
      <x/>
    </i>
    <i t="default" r="3">
      <x/>
    </i>
    <i t="default" r="2">
      <x v="1"/>
    </i>
    <i t="default" r="1">
      <x v="1"/>
    </i>
    <i t="default">
      <x v="65"/>
    </i>
    <i>
      <x v="66"/>
      <x/>
      <x v="5"/>
      <x/>
      <x v="2"/>
    </i>
    <i t="default" r="3">
      <x/>
    </i>
    <i t="default" r="2">
      <x v="5"/>
    </i>
    <i t="default" r="1">
      <x/>
    </i>
    <i t="default">
      <x v="66"/>
    </i>
    <i>
      <x v="67"/>
      <x v="1"/>
      <x v="3"/>
      <x/>
      <x v="1"/>
    </i>
    <i t="default" r="3">
      <x/>
    </i>
    <i t="default" r="2">
      <x v="3"/>
    </i>
    <i t="default" r="1">
      <x v="1"/>
    </i>
    <i t="default">
      <x v="67"/>
    </i>
    <i>
      <x v="68"/>
      <x/>
      <x v="7"/>
      <x/>
      <x v="2"/>
    </i>
    <i t="default" r="3">
      <x/>
    </i>
    <i t="default" r="2">
      <x v="7"/>
    </i>
    <i t="default" r="1">
      <x/>
    </i>
    <i t="default">
      <x v="68"/>
    </i>
    <i>
      <x v="69"/>
      <x v="1"/>
      <x v="6"/>
      <x/>
      <x/>
    </i>
    <i t="default" r="3">
      <x/>
    </i>
    <i t="default" r="2">
      <x v="6"/>
    </i>
    <i t="default" r="1">
      <x v="1"/>
    </i>
    <i t="default">
      <x v="69"/>
    </i>
    <i>
      <x v="70"/>
      <x/>
      <x v="2"/>
      <x/>
      <x v="2"/>
    </i>
    <i t="default" r="3">
      <x/>
    </i>
    <i t="default" r="2">
      <x v="2"/>
    </i>
    <i t="default" r="1">
      <x/>
    </i>
    <i t="default">
      <x v="70"/>
    </i>
    <i>
      <x v="71"/>
      <x v="1"/>
      <x v="4"/>
      <x/>
      <x v="2"/>
    </i>
    <i t="default" r="3">
      <x/>
    </i>
    <i t="default" r="2">
      <x v="4"/>
    </i>
    <i t="default" r="1">
      <x v="1"/>
    </i>
    <i t="default">
      <x v="71"/>
    </i>
    <i>
      <x v="72"/>
      <x/>
      <x/>
      <x/>
      <x v="1"/>
    </i>
    <i t="default" r="3">
      <x/>
    </i>
    <i t="default" r="2">
      <x/>
    </i>
    <i t="default" r="1">
      <x/>
    </i>
    <i t="default">
      <x v="72"/>
    </i>
    <i>
      <x v="73"/>
      <x v="1"/>
      <x v="8"/>
      <x/>
      <x v="2"/>
    </i>
    <i t="default" r="3">
      <x/>
    </i>
    <i t="default" r="2">
      <x v="8"/>
    </i>
    <i t="default" r="1">
      <x v="1"/>
    </i>
    <i t="default">
      <x v="73"/>
    </i>
    <i>
      <x v="74"/>
      <x/>
      <x v="1"/>
      <x/>
      <x v="2"/>
    </i>
    <i t="default" r="3">
      <x/>
    </i>
    <i t="default" r="2">
      <x v="1"/>
    </i>
    <i t="default" r="1">
      <x/>
    </i>
    <i t="default">
      <x v="74"/>
    </i>
    <i>
      <x v="75"/>
      <x v="1"/>
      <x v="5"/>
      <x/>
      <x/>
    </i>
    <i t="default" r="3">
      <x/>
    </i>
    <i t="default" r="2">
      <x v="5"/>
    </i>
    <i t="default" r="1">
      <x v="1"/>
    </i>
    <i t="default">
      <x v="75"/>
    </i>
    <i>
      <x v="76"/>
      <x/>
      <x v="3"/>
      <x/>
      <x v="2"/>
    </i>
    <i t="default" r="3">
      <x/>
    </i>
    <i t="default" r="2">
      <x v="3"/>
    </i>
    <i t="default" r="1">
      <x/>
    </i>
    <i t="default">
      <x v="76"/>
    </i>
    <i>
      <x v="77"/>
      <x v="1"/>
      <x v="7"/>
      <x/>
      <x v="1"/>
    </i>
    <i t="default" r="3">
      <x/>
    </i>
    <i t="default" r="2">
      <x v="7"/>
    </i>
    <i t="default" r="1">
      <x v="1"/>
    </i>
    <i t="default">
      <x v="77"/>
    </i>
    <i>
      <x v="78"/>
      <x/>
      <x v="6"/>
      <x v="2"/>
      <x v="2"/>
    </i>
    <i t="default" r="3">
      <x v="2"/>
    </i>
    <i t="default" r="2">
      <x v="6"/>
    </i>
    <i t="default" r="1">
      <x/>
    </i>
    <i t="default">
      <x v="78"/>
    </i>
    <i>
      <x v="79"/>
      <x v="1"/>
      <x v="2"/>
      <x v="2"/>
      <x v="2"/>
    </i>
    <i t="default" r="3">
      <x v="2"/>
    </i>
    <i t="default" r="2">
      <x v="2"/>
    </i>
    <i t="default" r="1">
      <x v="1"/>
    </i>
    <i t="default">
      <x v="79"/>
    </i>
    <i>
      <x v="80"/>
      <x/>
      <x v="4"/>
      <x v="2"/>
      <x v="2"/>
    </i>
    <i t="default" r="3">
      <x v="2"/>
    </i>
    <i t="default" r="2">
      <x v="4"/>
    </i>
    <i t="default" r="1">
      <x/>
    </i>
    <i t="default">
      <x v="80"/>
    </i>
    <i>
      <x v="81"/>
      <x v="1"/>
      <x/>
      <x v="2"/>
      <x v="2"/>
    </i>
    <i t="default" r="3">
      <x v="2"/>
    </i>
    <i t="default" r="2">
      <x/>
    </i>
    <i t="default" r="1">
      <x v="1"/>
    </i>
    <i t="default">
      <x v="81"/>
    </i>
    <i>
      <x v="82"/>
      <x/>
      <x v="8"/>
      <x v="2"/>
      <x v="1"/>
    </i>
    <i t="default" r="3">
      <x v="2"/>
    </i>
    <i t="default" r="2">
      <x v="8"/>
    </i>
    <i t="default" r="1">
      <x/>
    </i>
    <i t="default">
      <x v="82"/>
    </i>
    <i>
      <x v="83"/>
      <x v="1"/>
      <x v="1"/>
      <x v="2"/>
      <x v="2"/>
    </i>
    <i t="default" r="3">
      <x v="2"/>
    </i>
    <i t="default" r="2">
      <x v="1"/>
    </i>
    <i t="default" r="1">
      <x v="1"/>
    </i>
    <i t="default">
      <x v="83"/>
    </i>
    <i>
      <x v="84"/>
      <x/>
      <x v="5"/>
      <x v="2"/>
      <x v="2"/>
    </i>
    <i t="default" r="3">
      <x v="2"/>
    </i>
    <i t="default" r="2">
      <x v="5"/>
    </i>
    <i t="default" r="1">
      <x/>
    </i>
    <i t="default">
      <x v="84"/>
    </i>
    <i>
      <x v="85"/>
      <x v="1"/>
      <x v="3"/>
      <x v="2"/>
      <x v="1"/>
    </i>
    <i t="default" r="3">
      <x v="2"/>
    </i>
    <i t="default" r="2">
      <x v="3"/>
    </i>
    <i t="default" r="1">
      <x v="1"/>
    </i>
    <i t="default">
      <x v="85"/>
    </i>
    <i>
      <x v="86"/>
      <x/>
      <x v="7"/>
      <x v="2"/>
      <x v="2"/>
    </i>
    <i t="default" r="3">
      <x v="2"/>
    </i>
    <i t="default" r="2">
      <x v="7"/>
    </i>
    <i t="default" r="1">
      <x/>
    </i>
    <i t="default">
      <x v="86"/>
    </i>
    <i>
      <x v="87"/>
      <x v="1"/>
      <x v="6"/>
      <x v="2"/>
      <x v="2"/>
    </i>
    <i t="default" r="3">
      <x v="2"/>
    </i>
    <i t="default" r="2">
      <x v="6"/>
    </i>
    <i t="default" r="1">
      <x v="1"/>
    </i>
    <i t="default">
      <x v="87"/>
    </i>
    <i>
      <x v="88"/>
      <x/>
      <x v="2"/>
      <x v="2"/>
      <x v="2"/>
    </i>
    <i t="default" r="3">
      <x v="2"/>
    </i>
    <i t="default" r="2">
      <x v="2"/>
    </i>
    <i t="default" r="1">
      <x/>
    </i>
    <i t="default">
      <x v="88"/>
    </i>
    <i>
      <x v="89"/>
      <x v="1"/>
      <x v="4"/>
      <x v="2"/>
      <x/>
    </i>
    <i t="default" r="3">
      <x v="2"/>
    </i>
    <i t="default" r="2">
      <x v="4"/>
    </i>
    <i t="default" r="1">
      <x v="1"/>
    </i>
    <i t="default">
      <x v="89"/>
    </i>
    <i>
      <x v="90"/>
      <x/>
      <x/>
      <x v="2"/>
      <x v="1"/>
    </i>
    <i t="default" r="3">
      <x v="2"/>
    </i>
    <i t="default" r="2">
      <x/>
    </i>
    <i t="default" r="1">
      <x/>
    </i>
    <i t="default">
      <x v="90"/>
    </i>
    <i>
      <x v="91"/>
      <x v="1"/>
      <x v="8"/>
      <x/>
      <x v="2"/>
    </i>
    <i t="default" r="3">
      <x/>
    </i>
    <i t="default" r="2">
      <x v="8"/>
    </i>
    <i t="default" r="1">
      <x v="1"/>
    </i>
    <i t="default">
      <x v="91"/>
    </i>
    <i>
      <x v="92"/>
      <x/>
      <x v="1"/>
      <x v="1"/>
      <x/>
    </i>
    <i t="default" r="3">
      <x v="1"/>
    </i>
    <i t="default" r="2">
      <x v="1"/>
    </i>
    <i t="default" r="1">
      <x/>
    </i>
    <i t="default">
      <x v="92"/>
    </i>
    <i>
      <x v="93"/>
      <x v="1"/>
      <x v="5"/>
      <x v="1"/>
      <x v="2"/>
    </i>
    <i t="default" r="3">
      <x v="1"/>
    </i>
    <i t="default" r="2">
      <x v="5"/>
    </i>
    <i t="default" r="1">
      <x v="1"/>
    </i>
    <i t="default">
      <x v="93"/>
    </i>
    <i>
      <x v="94"/>
      <x/>
      <x v="3"/>
      <x v="1"/>
      <x v="2"/>
    </i>
    <i t="default" r="3">
      <x v="1"/>
    </i>
    <i t="default" r="2">
      <x v="3"/>
    </i>
    <i t="default" r="1">
      <x/>
    </i>
    <i t="default">
      <x v="94"/>
    </i>
    <i>
      <x v="95"/>
      <x v="1"/>
      <x v="7"/>
      <x v="1"/>
      <x v="2"/>
    </i>
    <i t="default" r="3">
      <x v="1"/>
    </i>
    <i t="default" r="2">
      <x v="7"/>
    </i>
    <i t="default" r="1">
      <x v="1"/>
    </i>
    <i t="default">
      <x v="95"/>
    </i>
    <i>
      <x v="96"/>
      <x/>
      <x v="6"/>
      <x v="1"/>
      <x v="1"/>
    </i>
    <i t="default" r="3">
      <x v="1"/>
    </i>
    <i t="default" r="2">
      <x v="6"/>
    </i>
    <i t="default" r="1">
      <x/>
    </i>
    <i t="default">
      <x v="96"/>
    </i>
    <i>
      <x v="97"/>
      <x v="1"/>
      <x v="2"/>
      <x v="1"/>
      <x v="2"/>
    </i>
    <i t="default" r="3">
      <x v="1"/>
    </i>
    <i t="default" r="2">
      <x v="2"/>
    </i>
    <i t="default" r="1">
      <x v="1"/>
    </i>
    <i t="default">
      <x v="97"/>
    </i>
    <i>
      <x v="98"/>
      <x/>
      <x v="4"/>
      <x v="1"/>
      <x v="2"/>
    </i>
    <i t="default" r="3">
      <x v="1"/>
    </i>
    <i t="default" r="2">
      <x v="4"/>
    </i>
    <i t="default" r="1">
      <x/>
    </i>
    <i t="default">
      <x v="98"/>
    </i>
    <i>
      <x v="99"/>
      <x v="1"/>
      <x/>
      <x v="1"/>
      <x v="2"/>
    </i>
    <i t="default" r="3">
      <x v="1"/>
    </i>
    <i t="default" r="2">
      <x/>
    </i>
    <i t="default" r="1">
      <x v="1"/>
    </i>
    <i t="default">
      <x v="99"/>
    </i>
    <i>
      <x v="100"/>
      <x/>
      <x v="8"/>
      <x v="1"/>
      <x/>
    </i>
    <i t="default" r="3">
      <x v="1"/>
    </i>
    <i t="default" r="2">
      <x v="8"/>
    </i>
    <i t="default" r="1">
      <x/>
    </i>
    <i t="default">
      <x v="100"/>
    </i>
    <i>
      <x v="101"/>
      <x v="1"/>
      <x v="1"/>
      <x v="1"/>
      <x v="2"/>
    </i>
    <i t="default" r="3">
      <x v="1"/>
    </i>
    <i t="default" r="2">
      <x v="1"/>
    </i>
    <i t="default" r="1">
      <x v="1"/>
    </i>
    <i t="default">
      <x v="101"/>
    </i>
    <i>
      <x v="102"/>
      <x/>
      <x v="5"/>
      <x v="1"/>
      <x v="1"/>
    </i>
    <i t="default" r="3">
      <x v="1"/>
    </i>
    <i t="default" r="2">
      <x v="5"/>
    </i>
    <i t="default" r="1">
      <x/>
    </i>
    <i t="default">
      <x v="102"/>
    </i>
    <i>
      <x v="103"/>
      <x v="1"/>
      <x v="3"/>
      <x v="1"/>
      <x v="2"/>
    </i>
    <i t="default" r="3">
      <x v="1"/>
    </i>
    <i t="default" r="2">
      <x v="3"/>
    </i>
    <i t="default" r="1">
      <x v="1"/>
    </i>
    <i t="default">
      <x v="103"/>
    </i>
    <i>
      <x v="104"/>
      <x/>
      <x v="7"/>
      <x v="2"/>
      <x v="2"/>
    </i>
    <i t="default" r="3">
      <x v="2"/>
    </i>
    <i t="default" r="2">
      <x v="7"/>
    </i>
    <i t="default" r="1">
      <x/>
    </i>
    <i t="default">
      <x v="104"/>
    </i>
    <i>
      <x v="105"/>
      <x v="1"/>
      <x v="6"/>
      <x v="2"/>
      <x/>
    </i>
    <i t="default" r="3">
      <x v="2"/>
    </i>
    <i t="default" r="2">
      <x v="6"/>
    </i>
    <i t="default" r="1">
      <x v="1"/>
    </i>
    <i t="default">
      <x v="105"/>
    </i>
    <i>
      <x v="106"/>
      <x/>
      <x v="2"/>
      <x v="2"/>
      <x v="2"/>
    </i>
    <i t="default" r="3">
      <x v="2"/>
    </i>
    <i t="default" r="2">
      <x v="2"/>
    </i>
    <i t="default" r="1">
      <x/>
    </i>
    <i t="default">
      <x v="106"/>
    </i>
    <i>
      <x v="107"/>
      <x v="1"/>
      <x v="4"/>
      <x v="2"/>
      <x v="1"/>
    </i>
    <i t="default" r="3">
      <x v="2"/>
    </i>
    <i t="default" r="2">
      <x v="4"/>
    </i>
    <i t="default" r="1">
      <x v="1"/>
    </i>
    <i t="default">
      <x v="107"/>
    </i>
    <i>
      <x v="108"/>
      <x/>
      <x/>
      <x v="2"/>
      <x v="2"/>
    </i>
    <i t="default" r="3">
      <x v="2"/>
    </i>
    <i t="default" r="2">
      <x/>
    </i>
    <i t="default" r="1">
      <x/>
    </i>
    <i t="default">
      <x v="108"/>
    </i>
    <i>
      <x v="109"/>
      <x v="1"/>
      <x v="8"/>
      <x v="2"/>
      <x v="2"/>
    </i>
    <i t="default" r="3">
      <x v="2"/>
    </i>
    <i t="default" r="2">
      <x v="8"/>
    </i>
    <i t="default" r="1">
      <x v="1"/>
    </i>
    <i t="default">
      <x v="109"/>
    </i>
    <i>
      <x v="110"/>
      <x/>
      <x v="1"/>
      <x v="2"/>
      <x/>
    </i>
    <i t="default" r="3">
      <x v="2"/>
    </i>
    <i t="default" r="2">
      <x v="1"/>
    </i>
    <i t="default" r="1">
      <x/>
    </i>
    <i t="default">
      <x v="110"/>
    </i>
    <i>
      <x v="111"/>
      <x v="1"/>
      <x v="5"/>
      <x v="2"/>
      <x v="2"/>
    </i>
    <i t="default" r="3">
      <x v="2"/>
    </i>
    <i t="default" r="2">
      <x v="5"/>
    </i>
    <i t="default" r="1">
      <x v="1"/>
    </i>
    <i t="default">
      <x v="111"/>
    </i>
    <i>
      <x v="112"/>
      <x/>
      <x v="3"/>
      <x v="2"/>
      <x v="2"/>
    </i>
    <i t="default" r="3">
      <x v="2"/>
    </i>
    <i t="default" r="2">
      <x v="3"/>
    </i>
    <i t="default" r="1">
      <x/>
    </i>
    <i t="default">
      <x v="112"/>
    </i>
    <i>
      <x v="113"/>
      <x v="1"/>
      <x v="7"/>
      <x v="2"/>
      <x v="2"/>
    </i>
    <i t="default" r="3">
      <x v="2"/>
    </i>
    <i t="default" r="2">
      <x v="7"/>
    </i>
    <i t="default" r="1">
      <x v="1"/>
    </i>
    <i t="default">
      <x v="113"/>
    </i>
    <i>
      <x v="114"/>
      <x/>
      <x v="6"/>
      <x v="2"/>
      <x v="1"/>
    </i>
    <i t="default" r="3">
      <x v="2"/>
    </i>
    <i t="default" r="2">
      <x v="6"/>
    </i>
    <i t="default" r="1">
      <x/>
    </i>
    <i t="default">
      <x v="114"/>
    </i>
    <i>
      <x v="115"/>
      <x v="1"/>
      <x v="2"/>
      <x v="2"/>
      <x v="1"/>
    </i>
    <i t="default" r="3">
      <x v="2"/>
    </i>
    <i t="default" r="2">
      <x v="2"/>
    </i>
    <i t="default" r="1">
      <x v="1"/>
    </i>
    <i t="default">
      <x v="115"/>
    </i>
    <i>
      <x v="116"/>
      <x/>
      <x v="4"/>
      <x v="2"/>
      <x v="2"/>
    </i>
    <i t="default" r="3">
      <x v="2"/>
    </i>
    <i t="default" r="2">
      <x v="4"/>
    </i>
    <i t="default" r="1">
      <x/>
    </i>
    <i t="default">
      <x v="116"/>
    </i>
    <i>
      <x v="117"/>
      <x v="1"/>
      <x/>
      <x v="2"/>
      <x/>
    </i>
    <i t="default" r="3">
      <x v="2"/>
    </i>
    <i t="default" r="2">
      <x/>
    </i>
    <i t="default" r="1">
      <x v="1"/>
    </i>
    <i t="default">
      <x v="117"/>
    </i>
    <i>
      <x v="118"/>
      <x/>
      <x v="8"/>
      <x v="2"/>
      <x v="2"/>
    </i>
    <i t="default" r="3">
      <x v="2"/>
    </i>
    <i t="default" r="2">
      <x v="8"/>
    </i>
    <i t="default" r="1">
      <x/>
    </i>
    <i t="default">
      <x v="118"/>
    </i>
    <i>
      <x v="119"/>
      <x v="1"/>
      <x v="1"/>
      <x v="2"/>
      <x v="2"/>
    </i>
    <i t="default" r="3">
      <x v="2"/>
    </i>
    <i t="default" r="2">
      <x v="1"/>
    </i>
    <i t="default" r="1">
      <x v="1"/>
    </i>
    <i t="default">
      <x v="119"/>
    </i>
    <i>
      <x v="120"/>
      <x/>
      <x v="5"/>
      <x v="2"/>
      <x v="2"/>
    </i>
    <i t="default" r="3">
      <x v="2"/>
    </i>
    <i t="default" r="2">
      <x v="5"/>
    </i>
    <i t="default" r="1">
      <x/>
    </i>
    <i t="default">
      <x v="120"/>
    </i>
    <i>
      <x v="121"/>
      <x v="1"/>
      <x v="3"/>
      <x v="2"/>
      <x v="1"/>
    </i>
    <i t="default" r="3">
      <x v="2"/>
    </i>
    <i t="default" r="2">
      <x v="3"/>
    </i>
    <i t="default" r="1">
      <x v="1"/>
    </i>
    <i t="default">
      <x v="121"/>
    </i>
    <i>
      <x v="122"/>
      <x/>
      <x v="7"/>
      <x v="2"/>
      <x v="2"/>
    </i>
    <i t="default" r="3">
      <x v="2"/>
    </i>
    <i t="default" r="2">
      <x v="7"/>
    </i>
    <i t="default" r="1">
      <x/>
    </i>
    <i t="default">
      <x v="122"/>
    </i>
    <i>
      <x v="123"/>
      <x v="1"/>
      <x v="6"/>
      <x v="2"/>
      <x v="2"/>
    </i>
    <i t="default" r="3">
      <x v="2"/>
    </i>
    <i t="default" r="2">
      <x v="6"/>
    </i>
    <i t="default" r="1">
      <x v="1"/>
    </i>
    <i t="default">
      <x v="123"/>
    </i>
    <i>
      <x v="124"/>
      <x/>
      <x v="2"/>
      <x v="1"/>
      <x v="2"/>
    </i>
    <i t="default" r="3">
      <x v="1"/>
    </i>
    <i t="default" r="2">
      <x v="2"/>
    </i>
    <i t="default" r="1">
      <x/>
    </i>
    <i t="default">
      <x v="124"/>
    </i>
    <i>
      <x v="125"/>
      <x v="1"/>
      <x v="4"/>
      <x v="1"/>
      <x/>
    </i>
    <i t="default" r="3">
      <x v="1"/>
    </i>
    <i t="default" r="2">
      <x v="4"/>
    </i>
    <i t="default" r="1">
      <x v="1"/>
    </i>
    <i t="default">
      <x v="125"/>
    </i>
    <i>
      <x v="126"/>
      <x/>
      <x/>
      <x v="1"/>
      <x v="2"/>
    </i>
    <i t="default" r="3">
      <x v="1"/>
    </i>
    <i t="default" r="2">
      <x/>
    </i>
    <i t="default" r="1">
      <x/>
    </i>
    <i t="default">
      <x v="126"/>
    </i>
    <i>
      <x v="127"/>
      <x v="1"/>
      <x v="8"/>
      <x v="1"/>
      <x v="1"/>
    </i>
    <i t="default" r="3">
      <x v="1"/>
    </i>
    <i t="default" r="2">
      <x v="8"/>
    </i>
    <i t="default" r="1">
      <x v="1"/>
    </i>
    <i t="default">
      <x v="127"/>
    </i>
    <i>
      <x v="128"/>
      <x/>
      <x v="1"/>
      <x v="1"/>
      <x v="2"/>
    </i>
    <i t="default" r="3">
      <x v="1"/>
    </i>
    <i t="default" r="2">
      <x v="1"/>
    </i>
    <i t="default" r="1">
      <x/>
    </i>
    <i t="default">
      <x v="128"/>
    </i>
    <i>
      <x v="129"/>
      <x v="1"/>
      <x v="5"/>
      <x v="1"/>
      <x v="2"/>
    </i>
    <i t="default" r="3">
      <x v="1"/>
    </i>
    <i t="default" r="2">
      <x v="5"/>
    </i>
    <i t="default" r="1">
      <x v="1"/>
    </i>
    <i t="default">
      <x v="129"/>
    </i>
    <i>
      <x v="130"/>
      <x/>
      <x v="3"/>
      <x v="1"/>
      <x/>
    </i>
    <i t="default" r="3">
      <x v="1"/>
    </i>
    <i t="default" r="2">
      <x v="3"/>
    </i>
    <i t="default" r="1">
      <x/>
    </i>
    <i t="default">
      <x v="130"/>
    </i>
    <i>
      <x v="131"/>
      <x v="1"/>
      <x v="7"/>
      <x v="1"/>
      <x v="2"/>
    </i>
    <i t="default" r="3">
      <x v="1"/>
    </i>
    <i t="default" r="2">
      <x v="7"/>
    </i>
    <i t="default" r="1">
      <x v="1"/>
    </i>
    <i t="default">
      <x v="131"/>
    </i>
    <i>
      <x v="132"/>
      <x/>
      <x v="6"/>
      <x v="1"/>
      <x v="1"/>
    </i>
    <i t="default" r="3">
      <x v="1"/>
    </i>
    <i t="default" r="2">
      <x v="6"/>
    </i>
    <i t="default" r="1">
      <x/>
    </i>
    <i t="default">
      <x v="132"/>
    </i>
    <i>
      <x v="133"/>
      <x v="1"/>
      <x v="2"/>
      <x v="1"/>
      <x v="2"/>
    </i>
    <i t="default" r="3">
      <x v="1"/>
    </i>
    <i t="default" r="2">
      <x v="2"/>
    </i>
    <i t="default" r="1">
      <x v="1"/>
    </i>
    <i t="default">
      <x v="133"/>
    </i>
    <i>
      <x v="134"/>
      <x/>
      <x v="4"/>
      <x v="1"/>
      <x v="2"/>
    </i>
    <i t="default" r="3">
      <x v="1"/>
    </i>
    <i t="default" r="2">
      <x v="4"/>
    </i>
    <i t="default" r="1">
      <x/>
    </i>
    <i t="default">
      <x v="134"/>
    </i>
    <i>
      <x v="135"/>
      <x v="1"/>
      <x/>
      <x v="1"/>
      <x/>
    </i>
    <i t="default" r="3">
      <x v="1"/>
    </i>
    <i t="default" r="2">
      <x/>
    </i>
    <i t="default" r="1">
      <x v="1"/>
    </i>
    <i t="default">
      <x v="135"/>
    </i>
    <i>
      <x v="136"/>
      <x/>
      <x v="8"/>
      <x v="2"/>
      <x v="2"/>
    </i>
    <i t="default" r="3">
      <x v="2"/>
    </i>
    <i t="default" r="2">
      <x v="8"/>
    </i>
    <i t="default" r="1">
      <x/>
    </i>
    <i t="default">
      <x v="136"/>
    </i>
    <i>
      <x v="137"/>
      <x v="1"/>
      <x v="1"/>
      <x v="2"/>
      <x v="2"/>
    </i>
    <i t="default" r="3">
      <x v="2"/>
    </i>
    <i t="default" r="2">
      <x v="1"/>
    </i>
    <i t="default" r="1">
      <x v="1"/>
    </i>
    <i t="default">
      <x v="137"/>
    </i>
    <i>
      <x v="138"/>
      <x/>
      <x v="5"/>
      <x v="2"/>
      <x v="2"/>
    </i>
    <i t="default" r="3">
      <x v="2"/>
    </i>
    <i t="default" r="2">
      <x v="5"/>
    </i>
    <i t="default" r="1">
      <x/>
    </i>
    <i t="default">
      <x v="138"/>
    </i>
    <i>
      <x v="139"/>
      <x v="1"/>
      <x v="3"/>
      <x v="2"/>
      <x v="1"/>
    </i>
    <i t="default" r="3">
      <x v="2"/>
    </i>
    <i t="default" r="2">
      <x v="3"/>
    </i>
    <i t="default" r="1">
      <x v="1"/>
    </i>
    <i t="default">
      <x v="139"/>
    </i>
    <i>
      <x v="140"/>
      <x/>
      <x v="7"/>
      <x v="2"/>
      <x v="1"/>
    </i>
    <i t="default" r="3">
      <x v="2"/>
    </i>
    <i t="default" r="2">
      <x v="7"/>
    </i>
    <i t="default" r="1">
      <x/>
    </i>
    <i t="default">
      <x v="140"/>
    </i>
    <i>
      <x v="141"/>
      <x v="1"/>
      <x v="6"/>
      <x v="2"/>
      <x v="2"/>
    </i>
    <i t="default" r="3">
      <x v="2"/>
    </i>
    <i t="default" r="2">
      <x v="6"/>
    </i>
    <i t="default" r="1">
      <x v="1"/>
    </i>
    <i t="default">
      <x v="141"/>
    </i>
    <i>
      <x v="142"/>
      <x/>
      <x v="2"/>
      <x v="2"/>
      <x/>
    </i>
    <i t="default" r="3">
      <x v="2"/>
    </i>
    <i t="default" r="2">
      <x v="2"/>
    </i>
    <i t="default" r="1">
      <x/>
    </i>
    <i t="default">
      <x v="142"/>
    </i>
    <i>
      <x v="143"/>
      <x v="1"/>
      <x v="4"/>
      <x v="2"/>
      <x v="2"/>
    </i>
    <i t="default" r="3">
      <x v="2"/>
    </i>
    <i t="default" r="2">
      <x v="4"/>
    </i>
    <i t="default" r="1">
      <x v="1"/>
    </i>
    <i t="default">
      <x v="143"/>
    </i>
    <i>
      <x v="144"/>
      <x/>
      <x/>
      <x v="2"/>
      <x v="2"/>
    </i>
    <i t="default" r="3">
      <x v="2"/>
    </i>
    <i t="default" r="2">
      <x/>
    </i>
    <i t="default" r="1">
      <x/>
    </i>
    <i t="default">
      <x v="144"/>
    </i>
    <i>
      <x v="145"/>
      <x v="1"/>
      <x v="8"/>
      <x v="2"/>
      <x v="2"/>
    </i>
    <i t="default" r="3">
      <x v="2"/>
    </i>
    <i t="default" r="2">
      <x v="8"/>
    </i>
    <i t="default" r="1">
      <x v="1"/>
    </i>
    <i t="default">
      <x v="145"/>
    </i>
    <i>
      <x v="146"/>
      <x/>
      <x v="1"/>
      <x v="2"/>
      <x v="1"/>
    </i>
    <i t="default" r="3">
      <x v="2"/>
    </i>
    <i t="default" r="2">
      <x v="1"/>
    </i>
    <i t="default" r="1">
      <x/>
    </i>
    <i t="default">
      <x v="146"/>
    </i>
    <i>
      <x v="147"/>
      <x v="1"/>
      <x v="5"/>
      <x v="2"/>
      <x v="2"/>
    </i>
    <i t="default" r="3">
      <x v="2"/>
    </i>
    <i t="default" r="2">
      <x v="5"/>
    </i>
    <i t="default" r="1">
      <x v="1"/>
    </i>
    <i t="default">
      <x v="147"/>
    </i>
    <i>
      <x v="148"/>
      <x/>
      <x v="3"/>
      <x v="2"/>
      <x v="2"/>
    </i>
    <i t="default" r="3">
      <x v="2"/>
    </i>
    <i t="default" r="2">
      <x v="3"/>
    </i>
    <i t="default" r="1">
      <x/>
    </i>
    <i t="default">
      <x v="148"/>
    </i>
    <i>
      <x v="149"/>
      <x v="1"/>
      <x v="7"/>
      <x v="2"/>
      <x v="2"/>
    </i>
    <i t="default" r="3">
      <x v="2"/>
    </i>
    <i t="default" r="2">
      <x v="7"/>
    </i>
    <i t="default" r="1">
      <x v="1"/>
    </i>
    <i t="default">
      <x v="149"/>
    </i>
    <i>
      <x v="150"/>
      <x/>
      <x v="6"/>
      <x v="2"/>
      <x/>
    </i>
    <i t="default" r="3">
      <x v="2"/>
    </i>
    <i t="default" r="2">
      <x v="6"/>
    </i>
    <i t="default" r="1">
      <x/>
    </i>
    <i t="default">
      <x v="150"/>
    </i>
    <i>
      <x v="151"/>
      <x v="1"/>
      <x v="2"/>
      <x v="2"/>
      <x v="2"/>
    </i>
    <i t="default" r="3">
      <x v="2"/>
    </i>
    <i t="default" r="2">
      <x v="2"/>
    </i>
    <i t="default" r="1">
      <x v="1"/>
    </i>
    <i t="default">
      <x v="151"/>
    </i>
    <i>
      <x v="152"/>
      <x/>
      <x v="4"/>
      <x v="2"/>
      <x v="1"/>
    </i>
    <i t="default" r="3">
      <x v="2"/>
    </i>
    <i t="default" r="2">
      <x v="4"/>
    </i>
    <i t="default" r="1">
      <x/>
    </i>
    <i t="default">
      <x v="152"/>
    </i>
    <i>
      <x v="153"/>
      <x v="1"/>
      <x/>
      <x v="2"/>
      <x v="2"/>
    </i>
    <i t="default" r="3">
      <x v="2"/>
    </i>
    <i t="default" r="2">
      <x/>
    </i>
    <i t="default" r="1">
      <x v="1"/>
    </i>
    <i t="default">
      <x v="153"/>
    </i>
    <i>
      <x v="154"/>
      <x/>
      <x v="8"/>
      <x v="2"/>
      <x v="2"/>
    </i>
    <i t="default" r="3">
      <x v="2"/>
    </i>
    <i t="default" r="2">
      <x v="8"/>
    </i>
    <i t="default" r="1">
      <x/>
    </i>
    <i t="default">
      <x v="154"/>
    </i>
    <i>
      <x v="155"/>
      <x v="1"/>
      <x v="1"/>
      <x v="2"/>
      <x/>
    </i>
    <i t="default" r="3">
      <x v="2"/>
    </i>
    <i t="default" r="2">
      <x v="1"/>
    </i>
    <i t="default" r="1">
      <x v="1"/>
    </i>
    <i t="default">
      <x v="155"/>
    </i>
    <i>
      <x v="156"/>
      <x/>
      <x v="5"/>
      <x v="1"/>
      <x v="2"/>
    </i>
    <i t="default" r="3">
      <x v="1"/>
    </i>
    <i t="default" r="2">
      <x v="5"/>
    </i>
    <i t="default" r="1">
      <x/>
    </i>
    <i t="default">
      <x v="156"/>
    </i>
    <i>
      <x v="157"/>
      <x v="1"/>
      <x v="3"/>
      <x v="1"/>
      <x v="1"/>
    </i>
    <i t="default" r="3">
      <x v="1"/>
    </i>
    <i t="default" r="2">
      <x v="3"/>
    </i>
    <i t="default" r="1">
      <x v="1"/>
    </i>
    <i t="default">
      <x v="157"/>
    </i>
    <i>
      <x v="158"/>
      <x/>
      <x v="7"/>
      <x v="2"/>
      <x v="2"/>
    </i>
    <i t="default" r="3">
      <x v="2"/>
    </i>
    <i t="default" r="2">
      <x v="7"/>
    </i>
    <i t="default" r="1">
      <x/>
    </i>
    <i t="default">
      <x v="158"/>
    </i>
    <i>
      <x v="159"/>
      <x v="1"/>
      <x v="6"/>
      <x v="1"/>
      <x v="2"/>
    </i>
    <i t="default" r="3">
      <x v="1"/>
    </i>
    <i t="default" r="2">
      <x v="6"/>
    </i>
    <i t="default" r="1">
      <x v="1"/>
    </i>
    <i t="default">
      <x v="159"/>
    </i>
    <i>
      <x v="160"/>
      <x/>
      <x v="2"/>
      <x v="1"/>
      <x/>
    </i>
    <i t="default" r="3">
      <x v="1"/>
    </i>
    <i t="default" r="2">
      <x v="2"/>
    </i>
    <i t="default" r="1">
      <x/>
    </i>
    <i t="default">
      <x v="160"/>
    </i>
    <i>
      <x v="161"/>
      <x v="1"/>
      <x v="4"/>
      <x v="1"/>
      <x v="2"/>
    </i>
    <i t="default" r="3">
      <x v="1"/>
    </i>
    <i t="default" r="2">
      <x v="4"/>
    </i>
    <i t="default" r="1">
      <x v="1"/>
    </i>
    <i t="default">
      <x v="161"/>
    </i>
    <i>
      <x v="162"/>
      <x/>
      <x/>
      <x v="1"/>
      <x v="2"/>
    </i>
    <i t="default" r="3">
      <x v="1"/>
    </i>
    <i t="default" r="2">
      <x/>
    </i>
    <i t="default" r="1">
      <x/>
    </i>
    <i t="default">
      <x v="162"/>
    </i>
    <i>
      <x v="163"/>
      <x v="1"/>
      <x v="8"/>
      <x v="1"/>
      <x v="2"/>
    </i>
    <i t="default" r="3">
      <x v="1"/>
    </i>
    <i t="default" r="2">
      <x v="8"/>
    </i>
    <i t="default" r="1">
      <x v="1"/>
    </i>
    <i t="default">
      <x v="163"/>
    </i>
    <i>
      <x v="164"/>
      <x/>
      <x v="1"/>
      <x v="1"/>
      <x v="1"/>
    </i>
    <i t="default" r="3">
      <x v="1"/>
    </i>
    <i t="default" r="2">
      <x v="1"/>
    </i>
    <i t="default" r="1">
      <x/>
    </i>
    <i t="default">
      <x v="164"/>
    </i>
    <i>
      <x v="165"/>
      <x v="1"/>
      <x v="5"/>
      <x v="1"/>
      <x/>
    </i>
    <i t="default" r="3">
      <x v="1"/>
    </i>
    <i t="default" r="2">
      <x v="5"/>
    </i>
    <i t="default" r="1">
      <x v="1"/>
    </i>
    <i t="default">
      <x v="165"/>
    </i>
    <i>
      <x v="166"/>
      <x/>
      <x v="3"/>
      <x v="1"/>
      <x/>
    </i>
    <i t="default" r="3">
      <x v="1"/>
    </i>
    <i t="default" r="2">
      <x v="3"/>
    </i>
    <i t="default" r="1">
      <x/>
    </i>
    <i t="default">
      <x v="166"/>
    </i>
    <i>
      <x v="167"/>
      <x v="1"/>
      <x v="7"/>
      <x v="1"/>
      <x v="1"/>
    </i>
    <i t="default" r="3">
      <x v="1"/>
    </i>
    <i t="default" r="2">
      <x v="7"/>
    </i>
    <i t="default" r="1">
      <x v="1"/>
    </i>
    <i t="default">
      <x v="167"/>
    </i>
    <i>
      <x v="168"/>
      <x/>
      <x v="6"/>
      <x v="1"/>
      <x v="1"/>
    </i>
    <i t="default" r="3">
      <x v="1"/>
    </i>
    <i t="default" r="2">
      <x v="6"/>
    </i>
    <i t="default" r="1">
      <x/>
    </i>
    <i t="default">
      <x v="168"/>
    </i>
    <i>
      <x v="169"/>
      <x v="1"/>
      <x v="2"/>
      <x v="1"/>
      <x v="1"/>
    </i>
    <i t="default" r="3">
      <x v="1"/>
    </i>
    <i t="default" r="2">
      <x v="2"/>
    </i>
    <i t="default" r="1">
      <x v="1"/>
    </i>
    <i t="default">
      <x v="169"/>
    </i>
    <i>
      <x v="170"/>
      <x/>
      <x v="4"/>
      <x v="1"/>
      <x/>
    </i>
    <i t="default" r="3">
      <x v="1"/>
    </i>
    <i t="default" r="2">
      <x v="4"/>
    </i>
    <i t="default" r="1">
      <x/>
    </i>
    <i t="default">
      <x v="170"/>
    </i>
    <i>
      <x v="171"/>
      <x v="1"/>
      <x/>
      <x v="1"/>
      <x v="2"/>
    </i>
    <i t="default" r="3">
      <x v="1"/>
    </i>
    <i t="default" r="2">
      <x/>
    </i>
    <i t="default" r="1">
      <x v="1"/>
    </i>
    <i t="default">
      <x v="171"/>
    </i>
    <i>
      <x v="172"/>
      <x/>
      <x v="8"/>
      <x v="1"/>
      <x v="1"/>
    </i>
    <i t="default" r="3">
      <x v="1"/>
    </i>
    <i t="default" r="2">
      <x v="8"/>
    </i>
    <i t="default" r="1">
      <x/>
    </i>
    <i t="default">
      <x v="172"/>
    </i>
    <i>
      <x v="173"/>
      <x v="1"/>
      <x v="1"/>
      <x v="1"/>
      <x v="2"/>
    </i>
    <i t="default" r="3">
      <x v="1"/>
    </i>
    <i t="default" r="2">
      <x v="1"/>
    </i>
    <i t="default" r="1">
      <x v="1"/>
    </i>
    <i t="default">
      <x v="173"/>
    </i>
    <i>
      <x v="174"/>
      <x/>
      <x v="5"/>
      <x v="1"/>
      <x v="2"/>
    </i>
    <i t="default" r="3">
      <x v="1"/>
    </i>
    <i t="default" r="2">
      <x v="5"/>
    </i>
    <i t="default" r="1">
      <x/>
    </i>
    <i t="default">
      <x v="174"/>
    </i>
    <i>
      <x v="175"/>
      <x v="1"/>
      <x v="3"/>
      <x v="2"/>
      <x/>
    </i>
    <i t="default" r="3">
      <x v="2"/>
    </i>
    <i t="default" r="2">
      <x v="3"/>
    </i>
    <i t="default" r="1">
      <x v="1"/>
    </i>
    <i t="default">
      <x v="175"/>
    </i>
    <i>
      <x v="176"/>
      <x/>
      <x v="7"/>
      <x v="2"/>
      <x v="2"/>
    </i>
    <i t="default" r="3">
      <x v="2"/>
    </i>
    <i t="default" r="2">
      <x v="7"/>
    </i>
    <i t="default" r="1">
      <x/>
    </i>
    <i t="default">
      <x v="176"/>
    </i>
    <i>
      <x v="177"/>
      <x v="1"/>
      <x v="6"/>
      <x v="2"/>
      <x v="1"/>
    </i>
    <i t="default" r="3">
      <x v="2"/>
    </i>
    <i t="default" r="2">
      <x v="6"/>
    </i>
    <i t="default" r="1">
      <x v="1"/>
    </i>
    <i t="default">
      <x v="177"/>
    </i>
    <i>
      <x v="178"/>
      <x/>
      <x v="2"/>
      <x v="2"/>
      <x v="2"/>
    </i>
    <i t="default" r="3">
      <x v="2"/>
    </i>
    <i t="default" r="2">
      <x v="2"/>
    </i>
    <i t="default" r="1">
      <x/>
    </i>
    <i t="default">
      <x v="178"/>
    </i>
    <i>
      <x v="179"/>
      <x v="1"/>
      <x v="4"/>
      <x v="2"/>
      <x v="2"/>
    </i>
    <i t="default" r="3">
      <x v="2"/>
    </i>
    <i t="default" r="2">
      <x v="4"/>
    </i>
    <i t="default" r="1">
      <x v="1"/>
    </i>
    <i t="default">
      <x v="179"/>
    </i>
    <i>
      <x v="180"/>
      <x/>
      <x/>
      <x v="2"/>
      <x/>
    </i>
    <i t="default" r="3">
      <x v="2"/>
    </i>
    <i t="default" r="2">
      <x/>
    </i>
    <i t="default" r="1">
      <x/>
    </i>
    <i t="default">
      <x v="180"/>
    </i>
    <i>
      <x v="181"/>
      <x v="1"/>
      <x v="8"/>
      <x v="2"/>
      <x v="2"/>
    </i>
    <i t="default" r="3">
      <x v="2"/>
    </i>
    <i t="default" r="2">
      <x v="8"/>
    </i>
    <i t="default" r="1">
      <x v="1"/>
    </i>
    <i t="default">
      <x v="181"/>
    </i>
    <i>
      <x v="182"/>
      <x/>
      <x v="1"/>
      <x v="2"/>
      <x v="2"/>
    </i>
    <i t="default" r="3">
      <x v="2"/>
    </i>
    <i t="default" r="2">
      <x v="1"/>
    </i>
    <i t="default" r="1">
      <x/>
    </i>
    <i t="default">
      <x v="182"/>
    </i>
    <i>
      <x v="183"/>
      <x v="1"/>
      <x v="5"/>
      <x v="2"/>
      <x v="2"/>
    </i>
    <i t="default" r="3">
      <x v="2"/>
    </i>
    <i t="default" r="2">
      <x v="5"/>
    </i>
    <i t="default" r="1">
      <x v="1"/>
    </i>
    <i t="default">
      <x v="183"/>
    </i>
    <i>
      <x v="184"/>
      <x/>
      <x v="3"/>
      <x v="2"/>
      <x v="1"/>
    </i>
    <i t="default" r="3">
      <x v="2"/>
    </i>
    <i t="default" r="2">
      <x v="3"/>
    </i>
    <i t="default" r="1">
      <x/>
    </i>
    <i t="default">
      <x v="184"/>
    </i>
    <i>
      <x v="185"/>
      <x v="1"/>
      <x v="7"/>
      <x v="2"/>
      <x v="1"/>
    </i>
    <i t="default" r="3">
      <x v="2"/>
    </i>
    <i t="default" r="2">
      <x v="7"/>
    </i>
    <i t="default" r="1">
      <x v="1"/>
    </i>
    <i t="default">
      <x v="185"/>
    </i>
    <i>
      <x v="186"/>
      <x/>
      <x v="6"/>
      <x v="2"/>
      <x v="2"/>
    </i>
    <i t="default" r="3">
      <x v="2"/>
    </i>
    <i t="default" r="2">
      <x v="6"/>
    </i>
    <i t="default" r="1">
      <x/>
    </i>
    <i t="default">
      <x v="186"/>
    </i>
    <i>
      <x v="187"/>
      <x v="1"/>
      <x v="2"/>
      <x v="2"/>
      <x/>
    </i>
    <i t="default" r="3">
      <x v="2"/>
    </i>
    <i t="default" r="2">
      <x v="2"/>
    </i>
    <i t="default" r="1">
      <x v="1"/>
    </i>
    <i t="default">
      <x v="187"/>
    </i>
    <i>
      <x v="188"/>
      <x/>
      <x v="4"/>
      <x v="2"/>
      <x v="2"/>
    </i>
    <i t="default" r="3">
      <x v="2"/>
    </i>
    <i t="default" r="2">
      <x v="4"/>
    </i>
    <i t="default" r="1">
      <x/>
    </i>
    <i t="default">
      <x v="188"/>
    </i>
    <i>
      <x v="189"/>
      <x v="1"/>
      <x/>
      <x v="2"/>
      <x/>
    </i>
    <i t="default" r="3">
      <x v="2"/>
    </i>
    <i t="default" r="2">
      <x/>
    </i>
    <i t="default" r="1">
      <x v="1"/>
    </i>
    <i t="default">
      <x v="189"/>
    </i>
    <i>
      <x v="190"/>
      <x/>
      <x v="8"/>
      <x v="2"/>
      <x v="2"/>
    </i>
    <i t="default" r="3">
      <x v="2"/>
    </i>
    <i t="default" r="2">
      <x v="8"/>
    </i>
    <i t="default" r="1">
      <x/>
    </i>
    <i t="default">
      <x v="190"/>
    </i>
    <i>
      <x v="191"/>
      <x v="1"/>
      <x v="1"/>
      <x v="2"/>
      <x v="1"/>
    </i>
    <i t="default" r="3">
      <x v="2"/>
    </i>
    <i t="default" r="2">
      <x v="1"/>
    </i>
    <i t="default" r="1">
      <x v="1"/>
    </i>
    <i t="default">
      <x v="191"/>
    </i>
    <i>
      <x v="192"/>
      <x/>
      <x v="5"/>
      <x v="2"/>
      <x v="2"/>
    </i>
    <i t="default" r="3">
      <x v="2"/>
    </i>
    <i t="default" r="2">
      <x v="5"/>
    </i>
    <i t="default" r="1">
      <x/>
    </i>
    <i t="default">
      <x v="192"/>
    </i>
    <i>
      <x v="193"/>
      <x v="1"/>
      <x v="3"/>
      <x v="2"/>
      <x v="2"/>
    </i>
    <i t="default" r="3">
      <x v="2"/>
    </i>
    <i t="default" r="2">
      <x v="3"/>
    </i>
    <i t="default" r="1">
      <x v="1"/>
    </i>
    <i t="default">
      <x v="193"/>
    </i>
    <i>
      <x v="194"/>
      <x/>
      <x v="7"/>
      <x v="2"/>
      <x/>
    </i>
    <i t="default" r="3">
      <x v="2"/>
    </i>
    <i t="default" r="2">
      <x v="7"/>
    </i>
    <i t="default" r="1">
      <x/>
    </i>
    <i t="default">
      <x v="194"/>
    </i>
    <i>
      <x v="195"/>
      <x v="1"/>
      <x v="6"/>
      <x v="1"/>
      <x v="2"/>
    </i>
    <i t="default" r="3">
      <x v="1"/>
    </i>
    <i t="default" r="2">
      <x v="6"/>
    </i>
    <i t="default" r="1">
      <x v="1"/>
    </i>
    <i t="default">
      <x v="195"/>
    </i>
    <i>
      <x v="196"/>
      <x/>
      <x v="2"/>
      <x v="1"/>
      <x v="1"/>
    </i>
    <i t="default" r="3">
      <x v="1"/>
    </i>
    <i t="default" r="2">
      <x v="2"/>
    </i>
    <i t="default" r="1">
      <x/>
    </i>
    <i t="default">
      <x v="196"/>
    </i>
    <i>
      <x v="197"/>
      <x v="1"/>
      <x v="4"/>
      <x v="1"/>
      <x v="2"/>
    </i>
    <i t="default" r="3">
      <x v="1"/>
    </i>
    <i t="default" r="2">
      <x v="4"/>
    </i>
    <i t="default" r="1">
      <x v="1"/>
    </i>
    <i t="default">
      <x v="197"/>
    </i>
    <i>
      <x v="198"/>
      <x/>
      <x/>
      <x v="2"/>
      <x v="2"/>
    </i>
    <i t="default" r="3">
      <x v="2"/>
    </i>
    <i t="default" r="2">
      <x/>
    </i>
    <i t="default" r="1">
      <x/>
    </i>
    <i t="default">
      <x v="198"/>
    </i>
    <i>
      <x v="199"/>
      <x v="1"/>
      <x v="8"/>
      <x v="1"/>
      <x/>
    </i>
    <i t="default" r="3">
      <x v="1"/>
    </i>
    <i t="default" r="2">
      <x v="8"/>
    </i>
    <i t="default" r="1">
      <x v="1"/>
    </i>
    <i t="default">
      <x v="1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fective Units" fld="1" baseField="0" baseItem="0"/>
    <dataField name="Average of Defect Rate" fld="5" subtotal="average" baseField="0" baseItem="0" numFmtId="9"/>
    <dataField name="Sum of Shipping Cost ($)" fld="4" baseField="0" baseItem="0"/>
    <dataField name="Sum of Total Un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4D96F-ED21-4F39-B876-D26A549858FC}" name="Table1" displayName="Table1" ref="A3:I203" totalsRowShown="0" headerRowDxfId="29" dataDxfId="28">
  <autoFilter ref="A3:I203" xr:uid="{1AD4D96F-ED21-4F39-B876-D26A549858FC}"/>
  <tableColumns count="9">
    <tableColumn id="4" xr3:uid="{CA7C9B96-722A-4171-B1D8-D98CF8F86A73}" name="Production Line Id" dataDxfId="27"/>
    <tableColumn id="1" xr3:uid="{4ECC9E17-9A54-48AA-8618-63801FAC88AB}" name="Defective Units" dataDxfId="26"/>
    <tableColumn id="17" xr3:uid="{4EF109EC-28AC-4019-815F-A41563FBDEEC}" name="Defect Type" dataDxfId="25"/>
    <tableColumn id="5" xr3:uid="{7F7D449A-9C78-482F-A13D-113737B78DFF}" name="Total Unit" dataDxfId="24"/>
    <tableColumn id="6" xr3:uid="{4C2BE986-EE38-4EDE-B14E-D011183A4543}" name="Shipping Cost ($)" dataDxfId="23"/>
    <tableColumn id="8" xr3:uid="{8B3D8C95-1875-4419-8FCD-D10C5AC9A8ED}" name="Defect Rate" dataDxfId="22" dataCellStyle="Percent">
      <calculatedColumnFormula>Table1[[#This Row],[Defective Units]]/Table1[[#This Row],[Total Unit]]</calculatedColumnFormula>
    </tableColumn>
    <tableColumn id="10" xr3:uid="{8B74A92A-D3B6-4F8D-954E-F98398F49D72}" name="Defect Rate Status" dataDxfId="21">
      <calculatedColumnFormula>_xlfn.SWITCH(TRUE(),ROUND(Table1[[#This Row],[Defect Rate]],2)&gt;=4%,"High Risk",ROUND(Table1[[#This Row],[Defect Rate]],2)&gt;=3%,"Medium Risk","Low Risk")</calculatedColumnFormula>
    </tableColumn>
    <tableColumn id="11" xr3:uid="{F6FD683E-E23E-449B-AEB1-E0898EB698F8}" name="Shipping Cost ($)Status" dataDxfId="20">
      <calculatedColumnFormula>_xlfn.SWITCH(TRUE(),Table1[[#This Row],[Shipping Cost ($)]]&gt;=700,"Expensive",Table1[[#This Row],[Shipping Cost ($)]]&gt;=500,"Economical","Low Cost")</calculatedColumnFormula>
    </tableColumn>
    <tableColumn id="18" xr3:uid="{07609AE2-EF20-4088-8CB4-579DA01260C7}" name="Shift(day/night)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9408-21D0-4246-9617-63681DE269C2}">
  <dimension ref="A3:I1004"/>
  <sheetViews>
    <sheetView workbookViewId="0">
      <selection activeCell="F19" sqref="F19"/>
    </sheetView>
  </sheetViews>
  <sheetFormatPr defaultRowHeight="14.4" x14ac:dyDescent="0.3"/>
  <cols>
    <col min="1" max="1" width="20.5546875" bestFit="1" customWidth="1"/>
    <col min="2" max="2" width="20.33203125" bestFit="1" customWidth="1"/>
    <col min="3" max="3" width="20.44140625" bestFit="1" customWidth="1"/>
    <col min="4" max="4" width="22" bestFit="1" customWidth="1"/>
    <col min="5" max="5" width="22.88671875" bestFit="1" customWidth="1"/>
    <col min="6" max="6" width="20.33203125" bestFit="1" customWidth="1"/>
    <col min="7" max="7" width="20.44140625" bestFit="1" customWidth="1"/>
    <col min="8" max="8" width="22" bestFit="1" customWidth="1"/>
    <col min="9" max="9" width="15.77734375" bestFit="1" customWidth="1"/>
  </cols>
  <sheetData>
    <row r="3" spans="1:9" x14ac:dyDescent="0.3">
      <c r="A3" s="11" t="s">
        <v>26</v>
      </c>
      <c r="B3" s="11" t="s">
        <v>23</v>
      </c>
      <c r="C3" s="11" t="s">
        <v>22</v>
      </c>
      <c r="D3" s="11" t="s">
        <v>4</v>
      </c>
      <c r="E3" s="11" t="s">
        <v>5</v>
      </c>
      <c r="F3" t="s">
        <v>228</v>
      </c>
      <c r="G3" t="s">
        <v>229</v>
      </c>
      <c r="H3" t="s">
        <v>230</v>
      </c>
      <c r="I3" t="s">
        <v>231</v>
      </c>
    </row>
    <row r="4" spans="1:9" x14ac:dyDescent="0.3">
      <c r="A4" t="s">
        <v>27</v>
      </c>
      <c r="B4" t="s">
        <v>24</v>
      </c>
      <c r="C4" t="s">
        <v>13</v>
      </c>
      <c r="D4" t="s">
        <v>11</v>
      </c>
      <c r="E4" t="s">
        <v>7</v>
      </c>
      <c r="F4" s="20">
        <v>200</v>
      </c>
      <c r="G4" s="12">
        <v>0.1</v>
      </c>
      <c r="H4" s="20">
        <v>500</v>
      </c>
      <c r="I4" s="20">
        <v>2000</v>
      </c>
    </row>
    <row r="5" spans="1:9" x14ac:dyDescent="0.3">
      <c r="D5" t="s">
        <v>290</v>
      </c>
      <c r="F5" s="20">
        <v>200</v>
      </c>
      <c r="G5" s="12">
        <v>0.1</v>
      </c>
      <c r="H5" s="20">
        <v>500</v>
      </c>
      <c r="I5" s="20">
        <v>2000</v>
      </c>
    </row>
    <row r="6" spans="1:9" x14ac:dyDescent="0.3">
      <c r="C6" t="s">
        <v>233</v>
      </c>
      <c r="F6" s="20">
        <v>200</v>
      </c>
      <c r="G6" s="12">
        <v>0.1</v>
      </c>
      <c r="H6" s="20">
        <v>500</v>
      </c>
      <c r="I6" s="20">
        <v>2000</v>
      </c>
    </row>
    <row r="7" spans="1:9" x14ac:dyDescent="0.3">
      <c r="B7" t="s">
        <v>234</v>
      </c>
      <c r="F7" s="20">
        <v>200</v>
      </c>
      <c r="G7" s="12">
        <v>0.1</v>
      </c>
      <c r="H7" s="20">
        <v>500</v>
      </c>
      <c r="I7" s="20">
        <v>2000</v>
      </c>
    </row>
    <row r="8" spans="1:9" x14ac:dyDescent="0.3">
      <c r="A8" t="s">
        <v>235</v>
      </c>
      <c r="F8" s="20">
        <v>200</v>
      </c>
      <c r="G8" s="12">
        <v>0.1</v>
      </c>
      <c r="H8" s="20">
        <v>500</v>
      </c>
      <c r="I8" s="20">
        <v>2000</v>
      </c>
    </row>
    <row r="9" spans="1:9" x14ac:dyDescent="0.3">
      <c r="A9" t="s">
        <v>28</v>
      </c>
      <c r="B9" t="s">
        <v>25</v>
      </c>
      <c r="C9" t="s">
        <v>14</v>
      </c>
      <c r="D9" t="s">
        <v>6</v>
      </c>
      <c r="E9" t="s">
        <v>8</v>
      </c>
      <c r="F9" s="20">
        <v>26</v>
      </c>
      <c r="G9" s="12">
        <v>1.2999999999999999E-2</v>
      </c>
      <c r="H9" s="20">
        <v>320</v>
      </c>
      <c r="I9" s="20">
        <v>2000</v>
      </c>
    </row>
    <row r="10" spans="1:9" x14ac:dyDescent="0.3">
      <c r="D10" t="s">
        <v>232</v>
      </c>
      <c r="F10" s="20">
        <v>26</v>
      </c>
      <c r="G10" s="12">
        <v>1.2999999999999999E-2</v>
      </c>
      <c r="H10" s="20">
        <v>320</v>
      </c>
      <c r="I10" s="20">
        <v>2000</v>
      </c>
    </row>
    <row r="11" spans="1:9" x14ac:dyDescent="0.3">
      <c r="C11" t="s">
        <v>236</v>
      </c>
      <c r="F11" s="20">
        <v>26</v>
      </c>
      <c r="G11" s="12">
        <v>1.2999999999999999E-2</v>
      </c>
      <c r="H11" s="20">
        <v>320</v>
      </c>
      <c r="I11" s="20">
        <v>2000</v>
      </c>
    </row>
    <row r="12" spans="1:9" x14ac:dyDescent="0.3">
      <c r="B12" t="s">
        <v>237</v>
      </c>
      <c r="F12" s="20">
        <v>26</v>
      </c>
      <c r="G12" s="12">
        <v>1.2999999999999999E-2</v>
      </c>
      <c r="H12" s="20">
        <v>320</v>
      </c>
      <c r="I12" s="20">
        <v>2000</v>
      </c>
    </row>
    <row r="13" spans="1:9" x14ac:dyDescent="0.3">
      <c r="A13" t="s">
        <v>238</v>
      </c>
      <c r="F13" s="20">
        <v>26</v>
      </c>
      <c r="G13" s="12">
        <v>1.2999999999999999E-2</v>
      </c>
      <c r="H13" s="20">
        <v>320</v>
      </c>
      <c r="I13" s="20">
        <v>2000</v>
      </c>
    </row>
    <row r="14" spans="1:9" x14ac:dyDescent="0.3">
      <c r="A14" t="s">
        <v>29</v>
      </c>
      <c r="B14" t="s">
        <v>24</v>
      </c>
      <c r="C14" t="s">
        <v>15</v>
      </c>
      <c r="D14" t="s">
        <v>6</v>
      </c>
      <c r="E14" t="s">
        <v>8</v>
      </c>
      <c r="F14" s="20">
        <v>27</v>
      </c>
      <c r="G14" s="12">
        <v>1.35E-2</v>
      </c>
      <c r="H14" s="20">
        <v>210</v>
      </c>
      <c r="I14" s="20">
        <v>2000</v>
      </c>
    </row>
    <row r="15" spans="1:9" x14ac:dyDescent="0.3">
      <c r="D15" t="s">
        <v>232</v>
      </c>
      <c r="F15" s="20">
        <v>27</v>
      </c>
      <c r="G15" s="12">
        <v>1.35E-2</v>
      </c>
      <c r="H15" s="20">
        <v>210</v>
      </c>
      <c r="I15" s="20">
        <v>2000</v>
      </c>
    </row>
    <row r="16" spans="1:9" x14ac:dyDescent="0.3">
      <c r="C16" t="s">
        <v>239</v>
      </c>
      <c r="F16" s="20">
        <v>27</v>
      </c>
      <c r="G16" s="12">
        <v>1.35E-2</v>
      </c>
      <c r="H16" s="20">
        <v>210</v>
      </c>
      <c r="I16" s="20">
        <v>2000</v>
      </c>
    </row>
    <row r="17" spans="1:9" x14ac:dyDescent="0.3">
      <c r="B17" t="s">
        <v>234</v>
      </c>
      <c r="F17" s="20">
        <v>27</v>
      </c>
      <c r="G17" s="12">
        <v>1.35E-2</v>
      </c>
      <c r="H17" s="20">
        <v>210</v>
      </c>
      <c r="I17" s="20">
        <v>2000</v>
      </c>
    </row>
    <row r="18" spans="1:9" x14ac:dyDescent="0.3">
      <c r="A18" t="s">
        <v>240</v>
      </c>
      <c r="F18" s="20">
        <v>27</v>
      </c>
      <c r="G18" s="12">
        <v>1.35E-2</v>
      </c>
      <c r="H18" s="20">
        <v>210</v>
      </c>
      <c r="I18" s="20">
        <v>2000</v>
      </c>
    </row>
    <row r="19" spans="1:9" x14ac:dyDescent="0.3">
      <c r="A19" t="s">
        <v>30</v>
      </c>
      <c r="B19" t="s">
        <v>25</v>
      </c>
      <c r="C19" t="s">
        <v>16</v>
      </c>
      <c r="D19" t="s">
        <v>6</v>
      </c>
      <c r="E19" t="s">
        <v>7</v>
      </c>
      <c r="F19" s="20">
        <v>28</v>
      </c>
      <c r="G19" s="12">
        <v>1.4E-2</v>
      </c>
      <c r="H19" s="20">
        <v>540</v>
      </c>
      <c r="I19" s="20">
        <v>2000</v>
      </c>
    </row>
    <row r="20" spans="1:9" x14ac:dyDescent="0.3">
      <c r="D20" t="s">
        <v>232</v>
      </c>
      <c r="F20" s="20">
        <v>28</v>
      </c>
      <c r="G20" s="12">
        <v>1.4E-2</v>
      </c>
      <c r="H20" s="20">
        <v>540</v>
      </c>
      <c r="I20" s="20">
        <v>2000</v>
      </c>
    </row>
    <row r="21" spans="1:9" x14ac:dyDescent="0.3">
      <c r="C21" t="s">
        <v>241</v>
      </c>
      <c r="F21" s="20">
        <v>28</v>
      </c>
      <c r="G21" s="12">
        <v>1.4E-2</v>
      </c>
      <c r="H21" s="20">
        <v>540</v>
      </c>
      <c r="I21" s="20">
        <v>2000</v>
      </c>
    </row>
    <row r="22" spans="1:9" x14ac:dyDescent="0.3">
      <c r="B22" t="s">
        <v>237</v>
      </c>
      <c r="F22" s="20">
        <v>28</v>
      </c>
      <c r="G22" s="12">
        <v>1.4E-2</v>
      </c>
      <c r="H22" s="20">
        <v>540</v>
      </c>
      <c r="I22" s="20">
        <v>2000</v>
      </c>
    </row>
    <row r="23" spans="1:9" x14ac:dyDescent="0.3">
      <c r="A23" t="s">
        <v>242</v>
      </c>
      <c r="F23" s="20">
        <v>28</v>
      </c>
      <c r="G23" s="12">
        <v>1.4E-2</v>
      </c>
      <c r="H23" s="20">
        <v>540</v>
      </c>
      <c r="I23" s="20">
        <v>2000</v>
      </c>
    </row>
    <row r="24" spans="1:9" x14ac:dyDescent="0.3">
      <c r="A24" t="s">
        <v>31</v>
      </c>
      <c r="B24" t="s">
        <v>24</v>
      </c>
      <c r="C24" t="s">
        <v>17</v>
      </c>
      <c r="D24" t="s">
        <v>6</v>
      </c>
      <c r="E24" t="s">
        <v>8</v>
      </c>
      <c r="F24" s="20">
        <v>29</v>
      </c>
      <c r="G24" s="12">
        <v>1.4500000000000001E-2</v>
      </c>
      <c r="H24" s="20">
        <v>290</v>
      </c>
      <c r="I24" s="20">
        <v>2000</v>
      </c>
    </row>
    <row r="25" spans="1:9" x14ac:dyDescent="0.3">
      <c r="D25" t="s">
        <v>232</v>
      </c>
      <c r="F25" s="20">
        <v>29</v>
      </c>
      <c r="G25" s="12">
        <v>1.4500000000000001E-2</v>
      </c>
      <c r="H25" s="20">
        <v>290</v>
      </c>
      <c r="I25" s="20">
        <v>2000</v>
      </c>
    </row>
    <row r="26" spans="1:9" x14ac:dyDescent="0.3">
      <c r="C26" t="s">
        <v>243</v>
      </c>
      <c r="F26" s="20">
        <v>29</v>
      </c>
      <c r="G26" s="12">
        <v>1.4500000000000001E-2</v>
      </c>
      <c r="H26" s="20">
        <v>290</v>
      </c>
      <c r="I26" s="20">
        <v>2000</v>
      </c>
    </row>
    <row r="27" spans="1:9" x14ac:dyDescent="0.3">
      <c r="B27" t="s">
        <v>234</v>
      </c>
      <c r="F27" s="20">
        <v>29</v>
      </c>
      <c r="G27" s="12">
        <v>1.4500000000000001E-2</v>
      </c>
      <c r="H27" s="20">
        <v>290</v>
      </c>
      <c r="I27" s="20">
        <v>2000</v>
      </c>
    </row>
    <row r="28" spans="1:9" x14ac:dyDescent="0.3">
      <c r="A28" t="s">
        <v>244</v>
      </c>
      <c r="F28" s="20">
        <v>29</v>
      </c>
      <c r="G28" s="12">
        <v>1.4500000000000001E-2</v>
      </c>
      <c r="H28" s="20">
        <v>290</v>
      </c>
      <c r="I28" s="20">
        <v>2000</v>
      </c>
    </row>
    <row r="29" spans="1:9" x14ac:dyDescent="0.3">
      <c r="A29" t="s">
        <v>32</v>
      </c>
      <c r="B29" t="s">
        <v>25</v>
      </c>
      <c r="C29" t="s">
        <v>20</v>
      </c>
      <c r="D29" t="s">
        <v>6</v>
      </c>
      <c r="E29" t="s">
        <v>7</v>
      </c>
      <c r="F29" s="20">
        <v>30</v>
      </c>
      <c r="G29" s="12">
        <v>1.4999999999999999E-2</v>
      </c>
      <c r="H29" s="20">
        <v>610</v>
      </c>
      <c r="I29" s="20">
        <v>2000</v>
      </c>
    </row>
    <row r="30" spans="1:9" x14ac:dyDescent="0.3">
      <c r="D30" t="s">
        <v>232</v>
      </c>
      <c r="F30" s="20">
        <v>30</v>
      </c>
      <c r="G30" s="12">
        <v>1.4999999999999999E-2</v>
      </c>
      <c r="H30" s="20">
        <v>610</v>
      </c>
      <c r="I30" s="20">
        <v>2000</v>
      </c>
    </row>
    <row r="31" spans="1:9" x14ac:dyDescent="0.3">
      <c r="C31" t="s">
        <v>245</v>
      </c>
      <c r="F31" s="20">
        <v>30</v>
      </c>
      <c r="G31" s="12">
        <v>1.4999999999999999E-2</v>
      </c>
      <c r="H31" s="20">
        <v>610</v>
      </c>
      <c r="I31" s="20">
        <v>2000</v>
      </c>
    </row>
    <row r="32" spans="1:9" x14ac:dyDescent="0.3">
      <c r="B32" t="s">
        <v>237</v>
      </c>
      <c r="F32" s="20">
        <v>30</v>
      </c>
      <c r="G32" s="12">
        <v>1.4999999999999999E-2</v>
      </c>
      <c r="H32" s="20">
        <v>610</v>
      </c>
      <c r="I32" s="20">
        <v>2000</v>
      </c>
    </row>
    <row r="33" spans="1:9" x14ac:dyDescent="0.3">
      <c r="A33" t="s">
        <v>246</v>
      </c>
      <c r="F33" s="20">
        <v>30</v>
      </c>
      <c r="G33" s="12">
        <v>1.4999999999999999E-2</v>
      </c>
      <c r="H33" s="20">
        <v>610</v>
      </c>
      <c r="I33" s="20">
        <v>2000</v>
      </c>
    </row>
    <row r="34" spans="1:9" x14ac:dyDescent="0.3">
      <c r="A34" t="s">
        <v>33</v>
      </c>
      <c r="B34" t="s">
        <v>24</v>
      </c>
      <c r="C34" t="s">
        <v>18</v>
      </c>
      <c r="D34" t="s">
        <v>6</v>
      </c>
      <c r="E34" t="s">
        <v>8</v>
      </c>
      <c r="F34" s="20">
        <v>31</v>
      </c>
      <c r="G34" s="12">
        <v>1.55E-2</v>
      </c>
      <c r="H34" s="20">
        <v>120</v>
      </c>
      <c r="I34" s="20">
        <v>2000</v>
      </c>
    </row>
    <row r="35" spans="1:9" x14ac:dyDescent="0.3">
      <c r="D35" t="s">
        <v>232</v>
      </c>
      <c r="F35" s="20">
        <v>31</v>
      </c>
      <c r="G35" s="12">
        <v>1.55E-2</v>
      </c>
      <c r="H35" s="20">
        <v>120</v>
      </c>
      <c r="I35" s="20">
        <v>2000</v>
      </c>
    </row>
    <row r="36" spans="1:9" x14ac:dyDescent="0.3">
      <c r="C36" t="s">
        <v>247</v>
      </c>
      <c r="F36" s="20">
        <v>31</v>
      </c>
      <c r="G36" s="12">
        <v>1.55E-2</v>
      </c>
      <c r="H36" s="20">
        <v>120</v>
      </c>
      <c r="I36" s="20">
        <v>2000</v>
      </c>
    </row>
    <row r="37" spans="1:9" x14ac:dyDescent="0.3">
      <c r="B37" t="s">
        <v>234</v>
      </c>
      <c r="F37" s="20">
        <v>31</v>
      </c>
      <c r="G37" s="12">
        <v>1.55E-2</v>
      </c>
      <c r="H37" s="20">
        <v>120</v>
      </c>
      <c r="I37" s="20">
        <v>2000</v>
      </c>
    </row>
    <row r="38" spans="1:9" x14ac:dyDescent="0.3">
      <c r="A38" t="s">
        <v>248</v>
      </c>
      <c r="F38" s="20">
        <v>31</v>
      </c>
      <c r="G38" s="12">
        <v>1.55E-2</v>
      </c>
      <c r="H38" s="20">
        <v>120</v>
      </c>
      <c r="I38" s="20">
        <v>2000</v>
      </c>
    </row>
    <row r="39" spans="1:9" x14ac:dyDescent="0.3">
      <c r="A39" t="s">
        <v>34</v>
      </c>
      <c r="B39" t="s">
        <v>25</v>
      </c>
      <c r="C39" t="s">
        <v>19</v>
      </c>
      <c r="D39" t="s">
        <v>6</v>
      </c>
      <c r="E39" t="s">
        <v>8</v>
      </c>
      <c r="F39" s="20">
        <v>32</v>
      </c>
      <c r="G39" s="12">
        <v>1.6E-2</v>
      </c>
      <c r="H39" s="20">
        <v>480</v>
      </c>
      <c r="I39" s="20">
        <v>2000</v>
      </c>
    </row>
    <row r="40" spans="1:9" x14ac:dyDescent="0.3">
      <c r="D40" t="s">
        <v>232</v>
      </c>
      <c r="F40" s="20">
        <v>32</v>
      </c>
      <c r="G40" s="12">
        <v>1.6E-2</v>
      </c>
      <c r="H40" s="20">
        <v>480</v>
      </c>
      <c r="I40" s="20">
        <v>2000</v>
      </c>
    </row>
    <row r="41" spans="1:9" x14ac:dyDescent="0.3">
      <c r="C41" t="s">
        <v>249</v>
      </c>
      <c r="F41" s="20">
        <v>32</v>
      </c>
      <c r="G41" s="12">
        <v>1.6E-2</v>
      </c>
      <c r="H41" s="20">
        <v>480</v>
      </c>
      <c r="I41" s="20">
        <v>2000</v>
      </c>
    </row>
    <row r="42" spans="1:9" x14ac:dyDescent="0.3">
      <c r="B42" t="s">
        <v>237</v>
      </c>
      <c r="F42" s="20">
        <v>32</v>
      </c>
      <c r="G42" s="12">
        <v>1.6E-2</v>
      </c>
      <c r="H42" s="20">
        <v>480</v>
      </c>
      <c r="I42" s="20">
        <v>2000</v>
      </c>
    </row>
    <row r="43" spans="1:9" x14ac:dyDescent="0.3">
      <c r="A43" t="s">
        <v>250</v>
      </c>
      <c r="F43" s="20">
        <v>32</v>
      </c>
      <c r="G43" s="12">
        <v>1.6E-2</v>
      </c>
      <c r="H43" s="20">
        <v>480</v>
      </c>
      <c r="I43" s="20">
        <v>2000</v>
      </c>
    </row>
    <row r="44" spans="1:9" x14ac:dyDescent="0.3">
      <c r="A44" t="s">
        <v>35</v>
      </c>
      <c r="B44" t="s">
        <v>24</v>
      </c>
      <c r="C44" t="s">
        <v>21</v>
      </c>
      <c r="D44" t="s">
        <v>6</v>
      </c>
      <c r="E44" t="s">
        <v>8</v>
      </c>
      <c r="F44" s="20">
        <v>33</v>
      </c>
      <c r="G44" s="12">
        <v>1.6500000000000001E-2</v>
      </c>
      <c r="H44" s="20">
        <v>150</v>
      </c>
      <c r="I44" s="20">
        <v>2000</v>
      </c>
    </row>
    <row r="45" spans="1:9" x14ac:dyDescent="0.3">
      <c r="D45" t="s">
        <v>232</v>
      </c>
      <c r="F45" s="20">
        <v>33</v>
      </c>
      <c r="G45" s="12">
        <v>1.6500000000000001E-2</v>
      </c>
      <c r="H45" s="20">
        <v>150</v>
      </c>
      <c r="I45" s="20">
        <v>2000</v>
      </c>
    </row>
    <row r="46" spans="1:9" x14ac:dyDescent="0.3">
      <c r="C46" t="s">
        <v>251</v>
      </c>
      <c r="F46" s="20">
        <v>33</v>
      </c>
      <c r="G46" s="12">
        <v>1.6500000000000001E-2</v>
      </c>
      <c r="H46" s="20">
        <v>150</v>
      </c>
      <c r="I46" s="20">
        <v>2000</v>
      </c>
    </row>
    <row r="47" spans="1:9" x14ac:dyDescent="0.3">
      <c r="B47" t="s">
        <v>234</v>
      </c>
      <c r="F47" s="20">
        <v>33</v>
      </c>
      <c r="G47" s="12">
        <v>1.6500000000000001E-2</v>
      </c>
      <c r="H47" s="20">
        <v>150</v>
      </c>
      <c r="I47" s="20">
        <v>2000</v>
      </c>
    </row>
    <row r="48" spans="1:9" x14ac:dyDescent="0.3">
      <c r="A48" t="s">
        <v>252</v>
      </c>
      <c r="F48" s="20">
        <v>33</v>
      </c>
      <c r="G48" s="12">
        <v>1.6500000000000001E-2</v>
      </c>
      <c r="H48" s="20">
        <v>150</v>
      </c>
      <c r="I48" s="20">
        <v>2000</v>
      </c>
    </row>
    <row r="49" spans="1:9" x14ac:dyDescent="0.3">
      <c r="A49" t="s">
        <v>36</v>
      </c>
      <c r="B49" t="s">
        <v>25</v>
      </c>
      <c r="C49" t="s">
        <v>13</v>
      </c>
      <c r="D49" t="s">
        <v>6</v>
      </c>
      <c r="E49" t="s">
        <v>9</v>
      </c>
      <c r="F49" s="20">
        <v>34</v>
      </c>
      <c r="G49" s="12">
        <v>1.7000000000000001E-2</v>
      </c>
      <c r="H49" s="20">
        <v>720</v>
      </c>
      <c r="I49" s="20">
        <v>2000</v>
      </c>
    </row>
    <row r="50" spans="1:9" x14ac:dyDescent="0.3">
      <c r="D50" t="s">
        <v>232</v>
      </c>
      <c r="F50" s="20">
        <v>34</v>
      </c>
      <c r="G50" s="12">
        <v>1.7000000000000001E-2</v>
      </c>
      <c r="H50" s="20">
        <v>720</v>
      </c>
      <c r="I50" s="20">
        <v>2000</v>
      </c>
    </row>
    <row r="51" spans="1:9" x14ac:dyDescent="0.3">
      <c r="C51" t="s">
        <v>233</v>
      </c>
      <c r="F51" s="20">
        <v>34</v>
      </c>
      <c r="G51" s="12">
        <v>1.7000000000000001E-2</v>
      </c>
      <c r="H51" s="20">
        <v>720</v>
      </c>
      <c r="I51" s="20">
        <v>2000</v>
      </c>
    </row>
    <row r="52" spans="1:9" x14ac:dyDescent="0.3">
      <c r="B52" t="s">
        <v>237</v>
      </c>
      <c r="F52" s="20">
        <v>34</v>
      </c>
      <c r="G52" s="12">
        <v>1.7000000000000001E-2</v>
      </c>
      <c r="H52" s="20">
        <v>720</v>
      </c>
      <c r="I52" s="20">
        <v>2000</v>
      </c>
    </row>
    <row r="53" spans="1:9" x14ac:dyDescent="0.3">
      <c r="A53" t="s">
        <v>253</v>
      </c>
      <c r="F53" s="20">
        <v>34</v>
      </c>
      <c r="G53" s="12">
        <v>1.7000000000000001E-2</v>
      </c>
      <c r="H53" s="20">
        <v>720</v>
      </c>
      <c r="I53" s="20">
        <v>2000</v>
      </c>
    </row>
    <row r="54" spans="1:9" x14ac:dyDescent="0.3">
      <c r="A54" t="s">
        <v>37</v>
      </c>
      <c r="B54" t="s">
        <v>24</v>
      </c>
      <c r="C54" t="s">
        <v>14</v>
      </c>
      <c r="D54" t="s">
        <v>6</v>
      </c>
      <c r="E54" t="s">
        <v>8</v>
      </c>
      <c r="F54" s="20">
        <v>35</v>
      </c>
      <c r="G54" s="12">
        <v>1.7500000000000002E-2</v>
      </c>
      <c r="H54" s="20">
        <v>330</v>
      </c>
      <c r="I54" s="20">
        <v>2000</v>
      </c>
    </row>
    <row r="55" spans="1:9" x14ac:dyDescent="0.3">
      <c r="D55" t="s">
        <v>232</v>
      </c>
      <c r="F55" s="20">
        <v>35</v>
      </c>
      <c r="G55" s="12">
        <v>1.7500000000000002E-2</v>
      </c>
      <c r="H55" s="20">
        <v>330</v>
      </c>
      <c r="I55" s="20">
        <v>2000</v>
      </c>
    </row>
    <row r="56" spans="1:9" x14ac:dyDescent="0.3">
      <c r="C56" t="s">
        <v>236</v>
      </c>
      <c r="F56" s="20">
        <v>35</v>
      </c>
      <c r="G56" s="12">
        <v>1.7500000000000002E-2</v>
      </c>
      <c r="H56" s="20">
        <v>330</v>
      </c>
      <c r="I56" s="20">
        <v>2000</v>
      </c>
    </row>
    <row r="57" spans="1:9" x14ac:dyDescent="0.3">
      <c r="B57" t="s">
        <v>234</v>
      </c>
      <c r="F57" s="20">
        <v>35</v>
      </c>
      <c r="G57" s="12">
        <v>1.7500000000000002E-2</v>
      </c>
      <c r="H57" s="20">
        <v>330</v>
      </c>
      <c r="I57" s="20">
        <v>2000</v>
      </c>
    </row>
    <row r="58" spans="1:9" x14ac:dyDescent="0.3">
      <c r="A58" t="s">
        <v>254</v>
      </c>
      <c r="F58" s="20">
        <v>35</v>
      </c>
      <c r="G58" s="12">
        <v>1.7500000000000002E-2</v>
      </c>
      <c r="H58" s="20">
        <v>330</v>
      </c>
      <c r="I58" s="20">
        <v>2000</v>
      </c>
    </row>
    <row r="59" spans="1:9" x14ac:dyDescent="0.3">
      <c r="A59" t="s">
        <v>38</v>
      </c>
      <c r="B59" t="s">
        <v>25</v>
      </c>
      <c r="C59" t="s">
        <v>15</v>
      </c>
      <c r="D59" t="s">
        <v>6</v>
      </c>
      <c r="E59" t="s">
        <v>8</v>
      </c>
      <c r="F59" s="20">
        <v>36</v>
      </c>
      <c r="G59" s="12">
        <v>1.7999999999999999E-2</v>
      </c>
      <c r="H59" s="20">
        <v>90</v>
      </c>
      <c r="I59" s="20">
        <v>2000</v>
      </c>
    </row>
    <row r="60" spans="1:9" x14ac:dyDescent="0.3">
      <c r="D60" t="s">
        <v>232</v>
      </c>
      <c r="F60" s="20">
        <v>36</v>
      </c>
      <c r="G60" s="12">
        <v>1.7999999999999999E-2</v>
      </c>
      <c r="H60" s="20">
        <v>90</v>
      </c>
      <c r="I60" s="20">
        <v>2000</v>
      </c>
    </row>
    <row r="61" spans="1:9" x14ac:dyDescent="0.3">
      <c r="C61" t="s">
        <v>239</v>
      </c>
      <c r="F61" s="20">
        <v>36</v>
      </c>
      <c r="G61" s="12">
        <v>1.7999999999999999E-2</v>
      </c>
      <c r="H61" s="20">
        <v>90</v>
      </c>
      <c r="I61" s="20">
        <v>2000</v>
      </c>
    </row>
    <row r="62" spans="1:9" x14ac:dyDescent="0.3">
      <c r="B62" t="s">
        <v>237</v>
      </c>
      <c r="F62" s="20">
        <v>36</v>
      </c>
      <c r="G62" s="12">
        <v>1.7999999999999999E-2</v>
      </c>
      <c r="H62" s="20">
        <v>90</v>
      </c>
      <c r="I62" s="20">
        <v>2000</v>
      </c>
    </row>
    <row r="63" spans="1:9" x14ac:dyDescent="0.3">
      <c r="A63" t="s">
        <v>255</v>
      </c>
      <c r="F63" s="20">
        <v>36</v>
      </c>
      <c r="G63" s="12">
        <v>1.7999999999999999E-2</v>
      </c>
      <c r="H63" s="20">
        <v>90</v>
      </c>
      <c r="I63" s="20">
        <v>2000</v>
      </c>
    </row>
    <row r="64" spans="1:9" x14ac:dyDescent="0.3">
      <c r="A64" t="s">
        <v>39</v>
      </c>
      <c r="B64" t="s">
        <v>24</v>
      </c>
      <c r="C64" t="s">
        <v>16</v>
      </c>
      <c r="D64" t="s">
        <v>6</v>
      </c>
      <c r="E64" t="s">
        <v>7</v>
      </c>
      <c r="F64" s="20">
        <v>37</v>
      </c>
      <c r="G64" s="12">
        <v>1.8499999999999999E-2</v>
      </c>
      <c r="H64" s="20">
        <v>500</v>
      </c>
      <c r="I64" s="20">
        <v>2000</v>
      </c>
    </row>
    <row r="65" spans="1:9" x14ac:dyDescent="0.3">
      <c r="D65" t="s">
        <v>232</v>
      </c>
      <c r="F65" s="20">
        <v>37</v>
      </c>
      <c r="G65" s="12">
        <v>1.8499999999999999E-2</v>
      </c>
      <c r="H65" s="20">
        <v>500</v>
      </c>
      <c r="I65" s="20">
        <v>2000</v>
      </c>
    </row>
    <row r="66" spans="1:9" x14ac:dyDescent="0.3">
      <c r="C66" t="s">
        <v>241</v>
      </c>
      <c r="F66" s="20">
        <v>37</v>
      </c>
      <c r="G66" s="12">
        <v>1.8499999999999999E-2</v>
      </c>
      <c r="H66" s="20">
        <v>500</v>
      </c>
      <c r="I66" s="20">
        <v>2000</v>
      </c>
    </row>
    <row r="67" spans="1:9" x14ac:dyDescent="0.3">
      <c r="B67" t="s">
        <v>234</v>
      </c>
      <c r="F67" s="20">
        <v>37</v>
      </c>
      <c r="G67" s="12">
        <v>1.8499999999999999E-2</v>
      </c>
      <c r="H67" s="20">
        <v>500</v>
      </c>
      <c r="I67" s="20">
        <v>2000</v>
      </c>
    </row>
    <row r="68" spans="1:9" x14ac:dyDescent="0.3">
      <c r="A68" t="s">
        <v>256</v>
      </c>
      <c r="F68" s="20">
        <v>37</v>
      </c>
      <c r="G68" s="12">
        <v>1.8499999999999999E-2</v>
      </c>
      <c r="H68" s="20">
        <v>500</v>
      </c>
      <c r="I68" s="20">
        <v>2000</v>
      </c>
    </row>
    <row r="69" spans="1:9" x14ac:dyDescent="0.3">
      <c r="A69" t="s">
        <v>40</v>
      </c>
      <c r="B69" t="s">
        <v>25</v>
      </c>
      <c r="C69" t="s">
        <v>17</v>
      </c>
      <c r="D69" t="s">
        <v>6</v>
      </c>
      <c r="E69" t="s">
        <v>8</v>
      </c>
      <c r="F69" s="20">
        <v>38</v>
      </c>
      <c r="G69" s="12">
        <v>1.9E-2</v>
      </c>
      <c r="H69" s="20">
        <v>110</v>
      </c>
      <c r="I69" s="20">
        <v>2000</v>
      </c>
    </row>
    <row r="70" spans="1:9" x14ac:dyDescent="0.3">
      <c r="D70" t="s">
        <v>232</v>
      </c>
      <c r="F70" s="20">
        <v>38</v>
      </c>
      <c r="G70" s="12">
        <v>1.9E-2</v>
      </c>
      <c r="H70" s="20">
        <v>110</v>
      </c>
      <c r="I70" s="20">
        <v>2000</v>
      </c>
    </row>
    <row r="71" spans="1:9" x14ac:dyDescent="0.3">
      <c r="C71" t="s">
        <v>243</v>
      </c>
      <c r="F71" s="20">
        <v>38</v>
      </c>
      <c r="G71" s="12">
        <v>1.9E-2</v>
      </c>
      <c r="H71" s="20">
        <v>110</v>
      </c>
      <c r="I71" s="20">
        <v>2000</v>
      </c>
    </row>
    <row r="72" spans="1:9" x14ac:dyDescent="0.3">
      <c r="B72" t="s">
        <v>237</v>
      </c>
      <c r="F72" s="20">
        <v>38</v>
      </c>
      <c r="G72" s="12">
        <v>1.9E-2</v>
      </c>
      <c r="H72" s="20">
        <v>110</v>
      </c>
      <c r="I72" s="20">
        <v>2000</v>
      </c>
    </row>
    <row r="73" spans="1:9" x14ac:dyDescent="0.3">
      <c r="A73" t="s">
        <v>257</v>
      </c>
      <c r="F73" s="20">
        <v>38</v>
      </c>
      <c r="G73" s="12">
        <v>1.9E-2</v>
      </c>
      <c r="H73" s="20">
        <v>110</v>
      </c>
      <c r="I73" s="20">
        <v>2000</v>
      </c>
    </row>
    <row r="74" spans="1:9" x14ac:dyDescent="0.3">
      <c r="A74" t="s">
        <v>41</v>
      </c>
      <c r="B74" t="s">
        <v>24</v>
      </c>
      <c r="C74" t="s">
        <v>20</v>
      </c>
      <c r="D74" t="s">
        <v>6</v>
      </c>
      <c r="E74" t="s">
        <v>9</v>
      </c>
      <c r="F74" s="20">
        <v>39</v>
      </c>
      <c r="G74" s="12">
        <v>1.95E-2</v>
      </c>
      <c r="H74" s="20">
        <v>850</v>
      </c>
      <c r="I74" s="20">
        <v>2000</v>
      </c>
    </row>
    <row r="75" spans="1:9" x14ac:dyDescent="0.3">
      <c r="D75" t="s">
        <v>232</v>
      </c>
      <c r="F75" s="20">
        <v>39</v>
      </c>
      <c r="G75" s="12">
        <v>1.95E-2</v>
      </c>
      <c r="H75" s="20">
        <v>850</v>
      </c>
      <c r="I75" s="20">
        <v>2000</v>
      </c>
    </row>
    <row r="76" spans="1:9" x14ac:dyDescent="0.3">
      <c r="C76" t="s">
        <v>245</v>
      </c>
      <c r="F76" s="20">
        <v>39</v>
      </c>
      <c r="G76" s="12">
        <v>1.95E-2</v>
      </c>
      <c r="H76" s="20">
        <v>850</v>
      </c>
      <c r="I76" s="20">
        <v>2000</v>
      </c>
    </row>
    <row r="77" spans="1:9" x14ac:dyDescent="0.3">
      <c r="B77" t="s">
        <v>234</v>
      </c>
      <c r="F77" s="20">
        <v>39</v>
      </c>
      <c r="G77" s="12">
        <v>1.95E-2</v>
      </c>
      <c r="H77" s="20">
        <v>850</v>
      </c>
      <c r="I77" s="20">
        <v>2000</v>
      </c>
    </row>
    <row r="78" spans="1:9" x14ac:dyDescent="0.3">
      <c r="A78" t="s">
        <v>258</v>
      </c>
      <c r="F78" s="20">
        <v>39</v>
      </c>
      <c r="G78" s="12">
        <v>1.95E-2</v>
      </c>
      <c r="H78" s="20">
        <v>850</v>
      </c>
      <c r="I78" s="20">
        <v>2000</v>
      </c>
    </row>
    <row r="79" spans="1:9" x14ac:dyDescent="0.3">
      <c r="A79" t="s">
        <v>42</v>
      </c>
      <c r="B79" t="s">
        <v>25</v>
      </c>
      <c r="C79" t="s">
        <v>18</v>
      </c>
      <c r="D79" t="s">
        <v>6</v>
      </c>
      <c r="E79" t="s">
        <v>8</v>
      </c>
      <c r="F79" s="20">
        <v>40</v>
      </c>
      <c r="G79" s="12">
        <v>0.02</v>
      </c>
      <c r="H79" s="20">
        <v>180</v>
      </c>
      <c r="I79" s="20">
        <v>2000</v>
      </c>
    </row>
    <row r="80" spans="1:9" x14ac:dyDescent="0.3">
      <c r="D80" t="s">
        <v>232</v>
      </c>
      <c r="F80" s="20">
        <v>40</v>
      </c>
      <c r="G80" s="12">
        <v>0.02</v>
      </c>
      <c r="H80" s="20">
        <v>180</v>
      </c>
      <c r="I80" s="20">
        <v>2000</v>
      </c>
    </row>
    <row r="81" spans="1:9" x14ac:dyDescent="0.3">
      <c r="C81" t="s">
        <v>247</v>
      </c>
      <c r="F81" s="20">
        <v>40</v>
      </c>
      <c r="G81" s="12">
        <v>0.02</v>
      </c>
      <c r="H81" s="20">
        <v>180</v>
      </c>
      <c r="I81" s="20">
        <v>2000</v>
      </c>
    </row>
    <row r="82" spans="1:9" x14ac:dyDescent="0.3">
      <c r="B82" t="s">
        <v>237</v>
      </c>
      <c r="F82" s="20">
        <v>40</v>
      </c>
      <c r="G82" s="12">
        <v>0.02</v>
      </c>
      <c r="H82" s="20">
        <v>180</v>
      </c>
      <c r="I82" s="20">
        <v>2000</v>
      </c>
    </row>
    <row r="83" spans="1:9" x14ac:dyDescent="0.3">
      <c r="A83" t="s">
        <v>259</v>
      </c>
      <c r="F83" s="20">
        <v>40</v>
      </c>
      <c r="G83" s="12">
        <v>0.02</v>
      </c>
      <c r="H83" s="20">
        <v>180</v>
      </c>
      <c r="I83" s="20">
        <v>2000</v>
      </c>
    </row>
    <row r="84" spans="1:9" x14ac:dyDescent="0.3">
      <c r="A84" t="s">
        <v>43</v>
      </c>
      <c r="B84" t="s">
        <v>24</v>
      </c>
      <c r="C84" t="s">
        <v>19</v>
      </c>
      <c r="D84" t="s">
        <v>6</v>
      </c>
      <c r="E84" t="s">
        <v>8</v>
      </c>
      <c r="F84" s="20">
        <v>41</v>
      </c>
      <c r="G84" s="12">
        <v>2.0500000000000001E-2</v>
      </c>
      <c r="H84" s="20">
        <v>420</v>
      </c>
      <c r="I84" s="20">
        <v>2000</v>
      </c>
    </row>
    <row r="85" spans="1:9" x14ac:dyDescent="0.3">
      <c r="D85" t="s">
        <v>232</v>
      </c>
      <c r="F85" s="20">
        <v>41</v>
      </c>
      <c r="G85" s="12">
        <v>2.0500000000000001E-2</v>
      </c>
      <c r="H85" s="20">
        <v>420</v>
      </c>
      <c r="I85" s="20">
        <v>2000</v>
      </c>
    </row>
    <row r="86" spans="1:9" x14ac:dyDescent="0.3">
      <c r="C86" t="s">
        <v>249</v>
      </c>
      <c r="F86" s="20">
        <v>41</v>
      </c>
      <c r="G86" s="12">
        <v>2.0500000000000001E-2</v>
      </c>
      <c r="H86" s="20">
        <v>420</v>
      </c>
      <c r="I86" s="20">
        <v>2000</v>
      </c>
    </row>
    <row r="87" spans="1:9" x14ac:dyDescent="0.3">
      <c r="B87" t="s">
        <v>234</v>
      </c>
      <c r="F87" s="20">
        <v>41</v>
      </c>
      <c r="G87" s="12">
        <v>2.0500000000000001E-2</v>
      </c>
      <c r="H87" s="20">
        <v>420</v>
      </c>
      <c r="I87" s="20">
        <v>2000</v>
      </c>
    </row>
    <row r="88" spans="1:9" x14ac:dyDescent="0.3">
      <c r="A88" t="s">
        <v>260</v>
      </c>
      <c r="F88" s="20">
        <v>41</v>
      </c>
      <c r="G88" s="12">
        <v>2.0500000000000001E-2</v>
      </c>
      <c r="H88" s="20">
        <v>420</v>
      </c>
      <c r="I88" s="20">
        <v>2000</v>
      </c>
    </row>
    <row r="89" spans="1:9" x14ac:dyDescent="0.3">
      <c r="A89" t="s">
        <v>44</v>
      </c>
      <c r="B89" t="s">
        <v>25</v>
      </c>
      <c r="C89" t="s">
        <v>21</v>
      </c>
      <c r="D89" t="s">
        <v>6</v>
      </c>
      <c r="E89" t="s">
        <v>8</v>
      </c>
      <c r="F89" s="20">
        <v>42</v>
      </c>
      <c r="G89" s="12">
        <v>2.1000000000000001E-2</v>
      </c>
      <c r="H89" s="20">
        <v>260</v>
      </c>
      <c r="I89" s="20">
        <v>2000</v>
      </c>
    </row>
    <row r="90" spans="1:9" x14ac:dyDescent="0.3">
      <c r="D90" t="s">
        <v>232</v>
      </c>
      <c r="F90" s="20">
        <v>42</v>
      </c>
      <c r="G90" s="12">
        <v>2.1000000000000001E-2</v>
      </c>
      <c r="H90" s="20">
        <v>260</v>
      </c>
      <c r="I90" s="20">
        <v>2000</v>
      </c>
    </row>
    <row r="91" spans="1:9" x14ac:dyDescent="0.3">
      <c r="C91" t="s">
        <v>251</v>
      </c>
      <c r="F91" s="20">
        <v>42</v>
      </c>
      <c r="G91" s="12">
        <v>2.1000000000000001E-2</v>
      </c>
      <c r="H91" s="20">
        <v>260</v>
      </c>
      <c r="I91" s="20">
        <v>2000</v>
      </c>
    </row>
    <row r="92" spans="1:9" x14ac:dyDescent="0.3">
      <c r="B92" t="s">
        <v>237</v>
      </c>
      <c r="F92" s="20">
        <v>42</v>
      </c>
      <c r="G92" s="12">
        <v>2.1000000000000001E-2</v>
      </c>
      <c r="H92" s="20">
        <v>260</v>
      </c>
      <c r="I92" s="20">
        <v>2000</v>
      </c>
    </row>
    <row r="93" spans="1:9" x14ac:dyDescent="0.3">
      <c r="A93" t="s">
        <v>261</v>
      </c>
      <c r="F93" s="20">
        <v>42</v>
      </c>
      <c r="G93" s="12">
        <v>2.1000000000000001E-2</v>
      </c>
      <c r="H93" s="20">
        <v>260</v>
      </c>
      <c r="I93" s="20">
        <v>2000</v>
      </c>
    </row>
    <row r="94" spans="1:9" x14ac:dyDescent="0.3">
      <c r="A94" t="s">
        <v>45</v>
      </c>
      <c r="B94" t="s">
        <v>24</v>
      </c>
      <c r="C94" t="s">
        <v>13</v>
      </c>
      <c r="D94" t="s">
        <v>6</v>
      </c>
      <c r="E94" t="s">
        <v>8</v>
      </c>
      <c r="F94" s="20">
        <v>43</v>
      </c>
      <c r="G94" s="12">
        <v>2.1499999999999998E-2</v>
      </c>
      <c r="H94" s="20">
        <v>140</v>
      </c>
      <c r="I94" s="20">
        <v>2000</v>
      </c>
    </row>
    <row r="95" spans="1:9" x14ac:dyDescent="0.3">
      <c r="D95" t="s">
        <v>232</v>
      </c>
      <c r="F95" s="20">
        <v>43</v>
      </c>
      <c r="G95" s="12">
        <v>2.1499999999999998E-2</v>
      </c>
      <c r="H95" s="20">
        <v>140</v>
      </c>
      <c r="I95" s="20">
        <v>2000</v>
      </c>
    </row>
    <row r="96" spans="1:9" x14ac:dyDescent="0.3">
      <c r="C96" t="s">
        <v>233</v>
      </c>
      <c r="F96" s="20">
        <v>43</v>
      </c>
      <c r="G96" s="12">
        <v>2.1499999999999998E-2</v>
      </c>
      <c r="H96" s="20">
        <v>140</v>
      </c>
      <c r="I96" s="20">
        <v>2000</v>
      </c>
    </row>
    <row r="97" spans="1:9" x14ac:dyDescent="0.3">
      <c r="B97" t="s">
        <v>234</v>
      </c>
      <c r="F97" s="20">
        <v>43</v>
      </c>
      <c r="G97" s="12">
        <v>2.1499999999999998E-2</v>
      </c>
      <c r="H97" s="20">
        <v>140</v>
      </c>
      <c r="I97" s="20">
        <v>2000</v>
      </c>
    </row>
    <row r="98" spans="1:9" x14ac:dyDescent="0.3">
      <c r="A98" t="s">
        <v>262</v>
      </c>
      <c r="F98" s="20">
        <v>43</v>
      </c>
      <c r="G98" s="12">
        <v>2.1499999999999998E-2</v>
      </c>
      <c r="H98" s="20">
        <v>140</v>
      </c>
      <c r="I98" s="20">
        <v>2000</v>
      </c>
    </row>
    <row r="99" spans="1:9" x14ac:dyDescent="0.3">
      <c r="A99" t="s">
        <v>46</v>
      </c>
      <c r="B99" t="s">
        <v>25</v>
      </c>
      <c r="C99" t="s">
        <v>14</v>
      </c>
      <c r="D99" t="s">
        <v>6</v>
      </c>
      <c r="E99" t="s">
        <v>9</v>
      </c>
      <c r="F99" s="20">
        <v>44</v>
      </c>
      <c r="G99" s="12">
        <v>2.1999999999999999E-2</v>
      </c>
      <c r="H99" s="20">
        <v>980</v>
      </c>
      <c r="I99" s="20">
        <v>2000</v>
      </c>
    </row>
    <row r="100" spans="1:9" x14ac:dyDescent="0.3">
      <c r="D100" t="s">
        <v>232</v>
      </c>
      <c r="F100" s="20">
        <v>44</v>
      </c>
      <c r="G100" s="12">
        <v>2.1999999999999999E-2</v>
      </c>
      <c r="H100" s="20">
        <v>980</v>
      </c>
      <c r="I100" s="20">
        <v>2000</v>
      </c>
    </row>
    <row r="101" spans="1:9" x14ac:dyDescent="0.3">
      <c r="C101" t="s">
        <v>236</v>
      </c>
      <c r="F101" s="20">
        <v>44</v>
      </c>
      <c r="G101" s="12">
        <v>2.1999999999999999E-2</v>
      </c>
      <c r="H101" s="20">
        <v>980</v>
      </c>
      <c r="I101" s="20">
        <v>2000</v>
      </c>
    </row>
    <row r="102" spans="1:9" x14ac:dyDescent="0.3">
      <c r="B102" t="s">
        <v>237</v>
      </c>
      <c r="F102" s="20">
        <v>44</v>
      </c>
      <c r="G102" s="12">
        <v>2.1999999999999999E-2</v>
      </c>
      <c r="H102" s="20">
        <v>980</v>
      </c>
      <c r="I102" s="20">
        <v>2000</v>
      </c>
    </row>
    <row r="103" spans="1:9" x14ac:dyDescent="0.3">
      <c r="A103" t="s">
        <v>263</v>
      </c>
      <c r="F103" s="20">
        <v>44</v>
      </c>
      <c r="G103" s="12">
        <v>2.1999999999999999E-2</v>
      </c>
      <c r="H103" s="20">
        <v>980</v>
      </c>
      <c r="I103" s="20">
        <v>2000</v>
      </c>
    </row>
    <row r="104" spans="1:9" x14ac:dyDescent="0.3">
      <c r="A104" t="s">
        <v>47</v>
      </c>
      <c r="B104" t="s">
        <v>24</v>
      </c>
      <c r="C104" t="s">
        <v>15</v>
      </c>
      <c r="D104" t="s">
        <v>6</v>
      </c>
      <c r="E104" t="s">
        <v>8</v>
      </c>
      <c r="F104" s="20">
        <v>45</v>
      </c>
      <c r="G104" s="12">
        <v>2.2499999999999999E-2</v>
      </c>
      <c r="H104" s="20">
        <v>310</v>
      </c>
      <c r="I104" s="20">
        <v>2000</v>
      </c>
    </row>
    <row r="105" spans="1:9" x14ac:dyDescent="0.3">
      <c r="D105" t="s">
        <v>232</v>
      </c>
      <c r="F105" s="20">
        <v>45</v>
      </c>
      <c r="G105" s="12">
        <v>2.2499999999999999E-2</v>
      </c>
      <c r="H105" s="20">
        <v>310</v>
      </c>
      <c r="I105" s="20">
        <v>2000</v>
      </c>
    </row>
    <row r="106" spans="1:9" x14ac:dyDescent="0.3">
      <c r="C106" t="s">
        <v>239</v>
      </c>
      <c r="F106" s="20">
        <v>45</v>
      </c>
      <c r="G106" s="12">
        <v>2.2499999999999999E-2</v>
      </c>
      <c r="H106" s="20">
        <v>310</v>
      </c>
      <c r="I106" s="20">
        <v>2000</v>
      </c>
    </row>
    <row r="107" spans="1:9" x14ac:dyDescent="0.3">
      <c r="B107" t="s">
        <v>234</v>
      </c>
      <c r="F107" s="20">
        <v>45</v>
      </c>
      <c r="G107" s="12">
        <v>2.2499999999999999E-2</v>
      </c>
      <c r="H107" s="20">
        <v>310</v>
      </c>
      <c r="I107" s="20">
        <v>2000</v>
      </c>
    </row>
    <row r="108" spans="1:9" x14ac:dyDescent="0.3">
      <c r="A108" t="s">
        <v>264</v>
      </c>
      <c r="F108" s="20">
        <v>45</v>
      </c>
      <c r="G108" s="12">
        <v>2.2499999999999999E-2</v>
      </c>
      <c r="H108" s="20">
        <v>310</v>
      </c>
      <c r="I108" s="20">
        <v>2000</v>
      </c>
    </row>
    <row r="109" spans="1:9" x14ac:dyDescent="0.3">
      <c r="A109" t="s">
        <v>48</v>
      </c>
      <c r="B109" t="s">
        <v>25</v>
      </c>
      <c r="C109" t="s">
        <v>16</v>
      </c>
      <c r="D109" t="s">
        <v>6</v>
      </c>
      <c r="E109" t="s">
        <v>8</v>
      </c>
      <c r="F109" s="20">
        <v>46</v>
      </c>
      <c r="G109" s="12">
        <v>2.3E-2</v>
      </c>
      <c r="H109" s="20">
        <v>95</v>
      </c>
      <c r="I109" s="20">
        <v>2000</v>
      </c>
    </row>
    <row r="110" spans="1:9" x14ac:dyDescent="0.3">
      <c r="D110" t="s">
        <v>232</v>
      </c>
      <c r="F110" s="20">
        <v>46</v>
      </c>
      <c r="G110" s="12">
        <v>2.3E-2</v>
      </c>
      <c r="H110" s="20">
        <v>95</v>
      </c>
      <c r="I110" s="20">
        <v>2000</v>
      </c>
    </row>
    <row r="111" spans="1:9" x14ac:dyDescent="0.3">
      <c r="C111" t="s">
        <v>241</v>
      </c>
      <c r="F111" s="20">
        <v>46</v>
      </c>
      <c r="G111" s="12">
        <v>2.3E-2</v>
      </c>
      <c r="H111" s="20">
        <v>95</v>
      </c>
      <c r="I111" s="20">
        <v>2000</v>
      </c>
    </row>
    <row r="112" spans="1:9" x14ac:dyDescent="0.3">
      <c r="B112" t="s">
        <v>237</v>
      </c>
      <c r="F112" s="20">
        <v>46</v>
      </c>
      <c r="G112" s="12">
        <v>2.3E-2</v>
      </c>
      <c r="H112" s="20">
        <v>95</v>
      </c>
      <c r="I112" s="20">
        <v>2000</v>
      </c>
    </row>
    <row r="113" spans="1:9" x14ac:dyDescent="0.3">
      <c r="A113" t="s">
        <v>265</v>
      </c>
      <c r="F113" s="20">
        <v>46</v>
      </c>
      <c r="G113" s="12">
        <v>2.3E-2</v>
      </c>
      <c r="H113" s="20">
        <v>95</v>
      </c>
      <c r="I113" s="20">
        <v>2000</v>
      </c>
    </row>
    <row r="114" spans="1:9" x14ac:dyDescent="0.3">
      <c r="A114" t="s">
        <v>49</v>
      </c>
      <c r="B114" t="s">
        <v>24</v>
      </c>
      <c r="C114" t="s">
        <v>17</v>
      </c>
      <c r="D114" t="s">
        <v>6</v>
      </c>
      <c r="E114" t="s">
        <v>9</v>
      </c>
      <c r="F114" s="20">
        <v>47</v>
      </c>
      <c r="G114" s="12">
        <v>2.35E-2</v>
      </c>
      <c r="H114" s="20">
        <v>770</v>
      </c>
      <c r="I114" s="20">
        <v>2000</v>
      </c>
    </row>
    <row r="115" spans="1:9" x14ac:dyDescent="0.3">
      <c r="D115" t="s">
        <v>232</v>
      </c>
      <c r="F115" s="20">
        <v>47</v>
      </c>
      <c r="G115" s="12">
        <v>2.35E-2</v>
      </c>
      <c r="H115" s="20">
        <v>770</v>
      </c>
      <c r="I115" s="20">
        <v>2000</v>
      </c>
    </row>
    <row r="116" spans="1:9" x14ac:dyDescent="0.3">
      <c r="C116" t="s">
        <v>243</v>
      </c>
      <c r="F116" s="20">
        <v>47</v>
      </c>
      <c r="G116" s="12">
        <v>2.35E-2</v>
      </c>
      <c r="H116" s="20">
        <v>770</v>
      </c>
      <c r="I116" s="20">
        <v>2000</v>
      </c>
    </row>
    <row r="117" spans="1:9" x14ac:dyDescent="0.3">
      <c r="B117" t="s">
        <v>234</v>
      </c>
      <c r="F117" s="20">
        <v>47</v>
      </c>
      <c r="G117" s="12">
        <v>2.35E-2</v>
      </c>
      <c r="H117" s="20">
        <v>770</v>
      </c>
      <c r="I117" s="20">
        <v>2000</v>
      </c>
    </row>
    <row r="118" spans="1:9" x14ac:dyDescent="0.3">
      <c r="A118" t="s">
        <v>266</v>
      </c>
      <c r="F118" s="20">
        <v>47</v>
      </c>
      <c r="G118" s="12">
        <v>2.35E-2</v>
      </c>
      <c r="H118" s="20">
        <v>770</v>
      </c>
      <c r="I118" s="20">
        <v>2000</v>
      </c>
    </row>
    <row r="119" spans="1:9" x14ac:dyDescent="0.3">
      <c r="A119" t="s">
        <v>50</v>
      </c>
      <c r="B119" t="s">
        <v>25</v>
      </c>
      <c r="C119" t="s">
        <v>20</v>
      </c>
      <c r="D119" t="s">
        <v>6</v>
      </c>
      <c r="E119" t="s">
        <v>8</v>
      </c>
      <c r="F119" s="20">
        <v>48</v>
      </c>
      <c r="G119" s="12">
        <v>2.4E-2</v>
      </c>
      <c r="H119" s="20">
        <v>130</v>
      </c>
      <c r="I119" s="20">
        <v>2000</v>
      </c>
    </row>
    <row r="120" spans="1:9" x14ac:dyDescent="0.3">
      <c r="D120" t="s">
        <v>232</v>
      </c>
      <c r="F120" s="20">
        <v>48</v>
      </c>
      <c r="G120" s="12">
        <v>2.4E-2</v>
      </c>
      <c r="H120" s="20">
        <v>130</v>
      </c>
      <c r="I120" s="20">
        <v>2000</v>
      </c>
    </row>
    <row r="121" spans="1:9" x14ac:dyDescent="0.3">
      <c r="C121" t="s">
        <v>245</v>
      </c>
      <c r="F121" s="20">
        <v>48</v>
      </c>
      <c r="G121" s="12">
        <v>2.4E-2</v>
      </c>
      <c r="H121" s="20">
        <v>130</v>
      </c>
      <c r="I121" s="20">
        <v>2000</v>
      </c>
    </row>
    <row r="122" spans="1:9" x14ac:dyDescent="0.3">
      <c r="B122" t="s">
        <v>237</v>
      </c>
      <c r="F122" s="20">
        <v>48</v>
      </c>
      <c r="G122" s="12">
        <v>2.4E-2</v>
      </c>
      <c r="H122" s="20">
        <v>130</v>
      </c>
      <c r="I122" s="20">
        <v>2000</v>
      </c>
    </row>
    <row r="123" spans="1:9" x14ac:dyDescent="0.3">
      <c r="A123" t="s">
        <v>267</v>
      </c>
      <c r="F123" s="20">
        <v>48</v>
      </c>
      <c r="G123" s="12">
        <v>2.4E-2</v>
      </c>
      <c r="H123" s="20">
        <v>130</v>
      </c>
      <c r="I123" s="20">
        <v>2000</v>
      </c>
    </row>
    <row r="124" spans="1:9" x14ac:dyDescent="0.3">
      <c r="A124" t="s">
        <v>51</v>
      </c>
      <c r="B124" t="s">
        <v>24</v>
      </c>
      <c r="C124" t="s">
        <v>18</v>
      </c>
      <c r="D124" t="s">
        <v>6</v>
      </c>
      <c r="E124" t="s">
        <v>8</v>
      </c>
      <c r="F124" s="20">
        <v>49</v>
      </c>
      <c r="G124" s="12">
        <v>2.4500000000000001E-2</v>
      </c>
      <c r="H124" s="20">
        <v>460</v>
      </c>
      <c r="I124" s="20">
        <v>2000</v>
      </c>
    </row>
    <row r="125" spans="1:9" x14ac:dyDescent="0.3">
      <c r="D125" t="s">
        <v>232</v>
      </c>
      <c r="F125" s="20">
        <v>49</v>
      </c>
      <c r="G125" s="12">
        <v>2.4500000000000001E-2</v>
      </c>
      <c r="H125" s="20">
        <v>460</v>
      </c>
      <c r="I125" s="20">
        <v>2000</v>
      </c>
    </row>
    <row r="126" spans="1:9" x14ac:dyDescent="0.3">
      <c r="C126" t="s">
        <v>247</v>
      </c>
      <c r="F126" s="20">
        <v>49</v>
      </c>
      <c r="G126" s="12">
        <v>2.4500000000000001E-2</v>
      </c>
      <c r="H126" s="20">
        <v>460</v>
      </c>
      <c r="I126" s="20">
        <v>2000</v>
      </c>
    </row>
    <row r="127" spans="1:9" x14ac:dyDescent="0.3">
      <c r="B127" t="s">
        <v>234</v>
      </c>
      <c r="F127" s="20">
        <v>49</v>
      </c>
      <c r="G127" s="12">
        <v>2.4500000000000001E-2</v>
      </c>
      <c r="H127" s="20">
        <v>460</v>
      </c>
      <c r="I127" s="20">
        <v>2000</v>
      </c>
    </row>
    <row r="128" spans="1:9" x14ac:dyDescent="0.3">
      <c r="A128" t="s">
        <v>268</v>
      </c>
      <c r="F128" s="20">
        <v>49</v>
      </c>
      <c r="G128" s="12">
        <v>2.4500000000000001E-2</v>
      </c>
      <c r="H128" s="20">
        <v>460</v>
      </c>
      <c r="I128" s="20">
        <v>2000</v>
      </c>
    </row>
    <row r="129" spans="1:9" x14ac:dyDescent="0.3">
      <c r="A129" t="s">
        <v>52</v>
      </c>
      <c r="B129" t="s">
        <v>25</v>
      </c>
      <c r="C129" t="s">
        <v>19</v>
      </c>
      <c r="D129" t="s">
        <v>10</v>
      </c>
      <c r="E129" t="s">
        <v>8</v>
      </c>
      <c r="F129" s="20">
        <v>50</v>
      </c>
      <c r="G129" s="12">
        <v>2.5000000000000001E-2</v>
      </c>
      <c r="H129" s="20">
        <v>390</v>
      </c>
      <c r="I129" s="20">
        <v>2000</v>
      </c>
    </row>
    <row r="130" spans="1:9" x14ac:dyDescent="0.3">
      <c r="D130" t="s">
        <v>269</v>
      </c>
      <c r="F130" s="20">
        <v>50</v>
      </c>
      <c r="G130" s="12">
        <v>2.5000000000000001E-2</v>
      </c>
      <c r="H130" s="20">
        <v>390</v>
      </c>
      <c r="I130" s="20">
        <v>2000</v>
      </c>
    </row>
    <row r="131" spans="1:9" x14ac:dyDescent="0.3">
      <c r="C131" t="s">
        <v>249</v>
      </c>
      <c r="F131" s="20">
        <v>50</v>
      </c>
      <c r="G131" s="12">
        <v>2.5000000000000001E-2</v>
      </c>
      <c r="H131" s="20">
        <v>390</v>
      </c>
      <c r="I131" s="20">
        <v>2000</v>
      </c>
    </row>
    <row r="132" spans="1:9" x14ac:dyDescent="0.3">
      <c r="B132" t="s">
        <v>237</v>
      </c>
      <c r="F132" s="20">
        <v>50</v>
      </c>
      <c r="G132" s="12">
        <v>2.5000000000000001E-2</v>
      </c>
      <c r="H132" s="20">
        <v>390</v>
      </c>
      <c r="I132" s="20">
        <v>2000</v>
      </c>
    </row>
    <row r="133" spans="1:9" x14ac:dyDescent="0.3">
      <c r="A133" t="s">
        <v>270</v>
      </c>
      <c r="F133" s="20">
        <v>50</v>
      </c>
      <c r="G133" s="12">
        <v>2.5000000000000001E-2</v>
      </c>
      <c r="H133" s="20">
        <v>390</v>
      </c>
      <c r="I133" s="20">
        <v>2000</v>
      </c>
    </row>
    <row r="134" spans="1:9" x14ac:dyDescent="0.3">
      <c r="A134" t="s">
        <v>53</v>
      </c>
      <c r="B134" t="s">
        <v>24</v>
      </c>
      <c r="C134" t="s">
        <v>21</v>
      </c>
      <c r="D134" t="s">
        <v>10</v>
      </c>
      <c r="E134" t="s">
        <v>7</v>
      </c>
      <c r="F134" s="20">
        <v>51</v>
      </c>
      <c r="G134" s="12">
        <v>2.5499999999999998E-2</v>
      </c>
      <c r="H134" s="20">
        <v>520</v>
      </c>
      <c r="I134" s="20">
        <v>2000</v>
      </c>
    </row>
    <row r="135" spans="1:9" x14ac:dyDescent="0.3">
      <c r="D135" t="s">
        <v>269</v>
      </c>
      <c r="F135" s="20">
        <v>51</v>
      </c>
      <c r="G135" s="12">
        <v>2.5499999999999998E-2</v>
      </c>
      <c r="H135" s="20">
        <v>520</v>
      </c>
      <c r="I135" s="20">
        <v>2000</v>
      </c>
    </row>
    <row r="136" spans="1:9" x14ac:dyDescent="0.3">
      <c r="C136" t="s">
        <v>251</v>
      </c>
      <c r="F136" s="20">
        <v>51</v>
      </c>
      <c r="G136" s="12">
        <v>2.5499999999999998E-2</v>
      </c>
      <c r="H136" s="20">
        <v>520</v>
      </c>
      <c r="I136" s="20">
        <v>2000</v>
      </c>
    </row>
    <row r="137" spans="1:9" x14ac:dyDescent="0.3">
      <c r="B137" t="s">
        <v>234</v>
      </c>
      <c r="F137" s="20">
        <v>51</v>
      </c>
      <c r="G137" s="12">
        <v>2.5499999999999998E-2</v>
      </c>
      <c r="H137" s="20">
        <v>520</v>
      </c>
      <c r="I137" s="20">
        <v>2000</v>
      </c>
    </row>
    <row r="138" spans="1:9" x14ac:dyDescent="0.3">
      <c r="A138" t="s">
        <v>271</v>
      </c>
      <c r="F138" s="20">
        <v>51</v>
      </c>
      <c r="G138" s="12">
        <v>2.5499999999999998E-2</v>
      </c>
      <c r="H138" s="20">
        <v>520</v>
      </c>
      <c r="I138" s="20">
        <v>2000</v>
      </c>
    </row>
    <row r="139" spans="1:9" x14ac:dyDescent="0.3">
      <c r="A139" t="s">
        <v>54</v>
      </c>
      <c r="B139" t="s">
        <v>25</v>
      </c>
      <c r="C139" t="s">
        <v>13</v>
      </c>
      <c r="D139" t="s">
        <v>10</v>
      </c>
      <c r="E139" t="s">
        <v>8</v>
      </c>
      <c r="F139" s="20">
        <v>52</v>
      </c>
      <c r="G139" s="12">
        <v>2.5999999999999999E-2</v>
      </c>
      <c r="H139" s="20">
        <v>85</v>
      </c>
      <c r="I139" s="20">
        <v>2000</v>
      </c>
    </row>
    <row r="140" spans="1:9" x14ac:dyDescent="0.3">
      <c r="D140" t="s">
        <v>269</v>
      </c>
      <c r="F140" s="20">
        <v>52</v>
      </c>
      <c r="G140" s="12">
        <v>2.5999999999999999E-2</v>
      </c>
      <c r="H140" s="20">
        <v>85</v>
      </c>
      <c r="I140" s="20">
        <v>2000</v>
      </c>
    </row>
    <row r="141" spans="1:9" x14ac:dyDescent="0.3">
      <c r="C141" t="s">
        <v>233</v>
      </c>
      <c r="F141" s="20">
        <v>52</v>
      </c>
      <c r="G141" s="12">
        <v>2.5999999999999999E-2</v>
      </c>
      <c r="H141" s="20">
        <v>85</v>
      </c>
      <c r="I141" s="20">
        <v>2000</v>
      </c>
    </row>
    <row r="142" spans="1:9" x14ac:dyDescent="0.3">
      <c r="B142" t="s">
        <v>237</v>
      </c>
      <c r="F142" s="20">
        <v>52</v>
      </c>
      <c r="G142" s="12">
        <v>2.5999999999999999E-2</v>
      </c>
      <c r="H142" s="20">
        <v>85</v>
      </c>
      <c r="I142" s="20">
        <v>2000</v>
      </c>
    </row>
    <row r="143" spans="1:9" x14ac:dyDescent="0.3">
      <c r="A143" t="s">
        <v>272</v>
      </c>
      <c r="F143" s="20">
        <v>52</v>
      </c>
      <c r="G143" s="12">
        <v>2.5999999999999999E-2</v>
      </c>
      <c r="H143" s="20">
        <v>85</v>
      </c>
      <c r="I143" s="20">
        <v>2000</v>
      </c>
    </row>
    <row r="144" spans="1:9" x14ac:dyDescent="0.3">
      <c r="A144" t="s">
        <v>55</v>
      </c>
      <c r="B144" t="s">
        <v>24</v>
      </c>
      <c r="C144" t="s">
        <v>14</v>
      </c>
      <c r="D144" t="s">
        <v>10</v>
      </c>
      <c r="E144" t="s">
        <v>8</v>
      </c>
      <c r="F144" s="20">
        <v>53</v>
      </c>
      <c r="G144" s="12">
        <v>2.6499999999999999E-2</v>
      </c>
      <c r="H144" s="20">
        <v>220</v>
      </c>
      <c r="I144" s="20">
        <v>2000</v>
      </c>
    </row>
    <row r="145" spans="1:9" x14ac:dyDescent="0.3">
      <c r="D145" t="s">
        <v>269</v>
      </c>
      <c r="F145" s="20">
        <v>53</v>
      </c>
      <c r="G145" s="12">
        <v>2.6499999999999999E-2</v>
      </c>
      <c r="H145" s="20">
        <v>220</v>
      </c>
      <c r="I145" s="20">
        <v>2000</v>
      </c>
    </row>
    <row r="146" spans="1:9" x14ac:dyDescent="0.3">
      <c r="C146" t="s">
        <v>236</v>
      </c>
      <c r="F146" s="20">
        <v>53</v>
      </c>
      <c r="G146" s="12">
        <v>2.6499999999999999E-2</v>
      </c>
      <c r="H146" s="20">
        <v>220</v>
      </c>
      <c r="I146" s="20">
        <v>2000</v>
      </c>
    </row>
    <row r="147" spans="1:9" x14ac:dyDescent="0.3">
      <c r="B147" t="s">
        <v>234</v>
      </c>
      <c r="F147" s="20">
        <v>53</v>
      </c>
      <c r="G147" s="12">
        <v>2.6499999999999999E-2</v>
      </c>
      <c r="H147" s="20">
        <v>220</v>
      </c>
      <c r="I147" s="20">
        <v>2000</v>
      </c>
    </row>
    <row r="148" spans="1:9" x14ac:dyDescent="0.3">
      <c r="A148" t="s">
        <v>273</v>
      </c>
      <c r="F148" s="20">
        <v>53</v>
      </c>
      <c r="G148" s="12">
        <v>2.6499999999999999E-2</v>
      </c>
      <c r="H148" s="20">
        <v>220</v>
      </c>
      <c r="I148" s="20">
        <v>2000</v>
      </c>
    </row>
    <row r="149" spans="1:9" x14ac:dyDescent="0.3">
      <c r="A149" t="s">
        <v>56</v>
      </c>
      <c r="B149" t="s">
        <v>25</v>
      </c>
      <c r="C149" t="s">
        <v>15</v>
      </c>
      <c r="D149" t="s">
        <v>10</v>
      </c>
      <c r="E149" t="s">
        <v>9</v>
      </c>
      <c r="F149" s="20">
        <v>54</v>
      </c>
      <c r="G149" s="12">
        <v>2.7E-2</v>
      </c>
      <c r="H149" s="20">
        <v>890</v>
      </c>
      <c r="I149" s="20">
        <v>2000</v>
      </c>
    </row>
    <row r="150" spans="1:9" x14ac:dyDescent="0.3">
      <c r="D150" t="s">
        <v>269</v>
      </c>
      <c r="F150" s="20">
        <v>54</v>
      </c>
      <c r="G150" s="12">
        <v>2.7E-2</v>
      </c>
      <c r="H150" s="20">
        <v>890</v>
      </c>
      <c r="I150" s="20">
        <v>2000</v>
      </c>
    </row>
    <row r="151" spans="1:9" x14ac:dyDescent="0.3">
      <c r="C151" t="s">
        <v>239</v>
      </c>
      <c r="F151" s="20">
        <v>54</v>
      </c>
      <c r="G151" s="12">
        <v>2.7E-2</v>
      </c>
      <c r="H151" s="20">
        <v>890</v>
      </c>
      <c r="I151" s="20">
        <v>2000</v>
      </c>
    </row>
    <row r="152" spans="1:9" x14ac:dyDescent="0.3">
      <c r="B152" t="s">
        <v>237</v>
      </c>
      <c r="F152" s="20">
        <v>54</v>
      </c>
      <c r="G152" s="12">
        <v>2.7E-2</v>
      </c>
      <c r="H152" s="20">
        <v>890</v>
      </c>
      <c r="I152" s="20">
        <v>2000</v>
      </c>
    </row>
    <row r="153" spans="1:9" x14ac:dyDescent="0.3">
      <c r="A153" t="s">
        <v>274</v>
      </c>
      <c r="F153" s="20">
        <v>54</v>
      </c>
      <c r="G153" s="12">
        <v>2.7E-2</v>
      </c>
      <c r="H153" s="20">
        <v>890</v>
      </c>
      <c r="I153" s="20">
        <v>2000</v>
      </c>
    </row>
    <row r="154" spans="1:9" x14ac:dyDescent="0.3">
      <c r="A154" t="s">
        <v>57</v>
      </c>
      <c r="B154" t="s">
        <v>24</v>
      </c>
      <c r="C154" t="s">
        <v>16</v>
      </c>
      <c r="D154" t="s">
        <v>10</v>
      </c>
      <c r="E154" t="s">
        <v>8</v>
      </c>
      <c r="F154" s="20">
        <v>55</v>
      </c>
      <c r="G154" s="12">
        <v>2.75E-2</v>
      </c>
      <c r="H154" s="20">
        <v>340</v>
      </c>
      <c r="I154" s="20">
        <v>2000</v>
      </c>
    </row>
    <row r="155" spans="1:9" x14ac:dyDescent="0.3">
      <c r="D155" t="s">
        <v>269</v>
      </c>
      <c r="F155" s="20">
        <v>55</v>
      </c>
      <c r="G155" s="12">
        <v>2.75E-2</v>
      </c>
      <c r="H155" s="20">
        <v>340</v>
      </c>
      <c r="I155" s="20">
        <v>2000</v>
      </c>
    </row>
    <row r="156" spans="1:9" x14ac:dyDescent="0.3">
      <c r="C156" t="s">
        <v>241</v>
      </c>
      <c r="F156" s="20">
        <v>55</v>
      </c>
      <c r="G156" s="12">
        <v>2.75E-2</v>
      </c>
      <c r="H156" s="20">
        <v>340</v>
      </c>
      <c r="I156" s="20">
        <v>2000</v>
      </c>
    </row>
    <row r="157" spans="1:9" x14ac:dyDescent="0.3">
      <c r="B157" t="s">
        <v>234</v>
      </c>
      <c r="F157" s="20">
        <v>55</v>
      </c>
      <c r="G157" s="12">
        <v>2.75E-2</v>
      </c>
      <c r="H157" s="20">
        <v>340</v>
      </c>
      <c r="I157" s="20">
        <v>2000</v>
      </c>
    </row>
    <row r="158" spans="1:9" x14ac:dyDescent="0.3">
      <c r="A158" t="s">
        <v>275</v>
      </c>
      <c r="F158" s="20">
        <v>55</v>
      </c>
      <c r="G158" s="12">
        <v>2.75E-2</v>
      </c>
      <c r="H158" s="20">
        <v>340</v>
      </c>
      <c r="I158" s="20">
        <v>2000</v>
      </c>
    </row>
    <row r="159" spans="1:9" x14ac:dyDescent="0.3">
      <c r="A159" t="s">
        <v>58</v>
      </c>
      <c r="B159" t="s">
        <v>25</v>
      </c>
      <c r="C159" t="s">
        <v>17</v>
      </c>
      <c r="D159" t="s">
        <v>10</v>
      </c>
      <c r="E159" t="s">
        <v>8</v>
      </c>
      <c r="F159" s="20">
        <v>56</v>
      </c>
      <c r="G159" s="12">
        <v>2.8000000000000001E-2</v>
      </c>
      <c r="H159" s="20">
        <v>275</v>
      </c>
      <c r="I159" s="20">
        <v>2000</v>
      </c>
    </row>
    <row r="160" spans="1:9" x14ac:dyDescent="0.3">
      <c r="D160" t="s">
        <v>269</v>
      </c>
      <c r="F160" s="20">
        <v>56</v>
      </c>
      <c r="G160" s="12">
        <v>2.8000000000000001E-2</v>
      </c>
      <c r="H160" s="20">
        <v>275</v>
      </c>
      <c r="I160" s="20">
        <v>2000</v>
      </c>
    </row>
    <row r="161" spans="1:9" x14ac:dyDescent="0.3">
      <c r="C161" t="s">
        <v>243</v>
      </c>
      <c r="F161" s="20">
        <v>56</v>
      </c>
      <c r="G161" s="12">
        <v>2.8000000000000001E-2</v>
      </c>
      <c r="H161" s="20">
        <v>275</v>
      </c>
      <c r="I161" s="20">
        <v>2000</v>
      </c>
    </row>
    <row r="162" spans="1:9" x14ac:dyDescent="0.3">
      <c r="B162" t="s">
        <v>237</v>
      </c>
      <c r="F162" s="20">
        <v>56</v>
      </c>
      <c r="G162" s="12">
        <v>2.8000000000000001E-2</v>
      </c>
      <c r="H162" s="20">
        <v>275</v>
      </c>
      <c r="I162" s="20">
        <v>2000</v>
      </c>
    </row>
    <row r="163" spans="1:9" x14ac:dyDescent="0.3">
      <c r="A163" t="s">
        <v>276</v>
      </c>
      <c r="F163" s="20">
        <v>56</v>
      </c>
      <c r="G163" s="12">
        <v>2.8000000000000001E-2</v>
      </c>
      <c r="H163" s="20">
        <v>275</v>
      </c>
      <c r="I163" s="20">
        <v>2000</v>
      </c>
    </row>
    <row r="164" spans="1:9" x14ac:dyDescent="0.3">
      <c r="A164" t="s">
        <v>59</v>
      </c>
      <c r="B164" t="s">
        <v>24</v>
      </c>
      <c r="C164" t="s">
        <v>20</v>
      </c>
      <c r="D164" t="s">
        <v>10</v>
      </c>
      <c r="E164" t="s">
        <v>7</v>
      </c>
      <c r="F164" s="20">
        <v>57</v>
      </c>
      <c r="G164" s="12">
        <v>2.8500000000000001E-2</v>
      </c>
      <c r="H164" s="20">
        <v>600</v>
      </c>
      <c r="I164" s="20">
        <v>2000</v>
      </c>
    </row>
    <row r="165" spans="1:9" x14ac:dyDescent="0.3">
      <c r="D165" t="s">
        <v>269</v>
      </c>
      <c r="F165" s="20">
        <v>57</v>
      </c>
      <c r="G165" s="12">
        <v>2.8500000000000001E-2</v>
      </c>
      <c r="H165" s="20">
        <v>600</v>
      </c>
      <c r="I165" s="20">
        <v>2000</v>
      </c>
    </row>
    <row r="166" spans="1:9" x14ac:dyDescent="0.3">
      <c r="C166" t="s">
        <v>245</v>
      </c>
      <c r="F166" s="20">
        <v>57</v>
      </c>
      <c r="G166" s="12">
        <v>2.8500000000000001E-2</v>
      </c>
      <c r="H166" s="20">
        <v>600</v>
      </c>
      <c r="I166" s="20">
        <v>2000</v>
      </c>
    </row>
    <row r="167" spans="1:9" x14ac:dyDescent="0.3">
      <c r="B167" t="s">
        <v>234</v>
      </c>
      <c r="F167" s="20">
        <v>57</v>
      </c>
      <c r="G167" s="12">
        <v>2.8500000000000001E-2</v>
      </c>
      <c r="H167" s="20">
        <v>600</v>
      </c>
      <c r="I167" s="20">
        <v>2000</v>
      </c>
    </row>
    <row r="168" spans="1:9" x14ac:dyDescent="0.3">
      <c r="A168" t="s">
        <v>277</v>
      </c>
      <c r="F168" s="20">
        <v>57</v>
      </c>
      <c r="G168" s="12">
        <v>2.8500000000000001E-2</v>
      </c>
      <c r="H168" s="20">
        <v>600</v>
      </c>
      <c r="I168" s="20">
        <v>2000</v>
      </c>
    </row>
    <row r="169" spans="1:9" x14ac:dyDescent="0.3">
      <c r="A169" t="s">
        <v>60</v>
      </c>
      <c r="B169" t="s">
        <v>25</v>
      </c>
      <c r="C169" t="s">
        <v>18</v>
      </c>
      <c r="D169" t="s">
        <v>10</v>
      </c>
      <c r="E169" t="s">
        <v>8</v>
      </c>
      <c r="F169" s="20">
        <v>58</v>
      </c>
      <c r="G169" s="12">
        <v>2.9000000000000001E-2</v>
      </c>
      <c r="H169" s="20">
        <v>115</v>
      </c>
      <c r="I169" s="20">
        <v>2000</v>
      </c>
    </row>
    <row r="170" spans="1:9" x14ac:dyDescent="0.3">
      <c r="D170" t="s">
        <v>269</v>
      </c>
      <c r="F170" s="20">
        <v>58</v>
      </c>
      <c r="G170" s="12">
        <v>2.9000000000000001E-2</v>
      </c>
      <c r="H170" s="20">
        <v>115</v>
      </c>
      <c r="I170" s="20">
        <v>2000</v>
      </c>
    </row>
    <row r="171" spans="1:9" x14ac:dyDescent="0.3">
      <c r="C171" t="s">
        <v>247</v>
      </c>
      <c r="F171" s="20">
        <v>58</v>
      </c>
      <c r="G171" s="12">
        <v>2.9000000000000001E-2</v>
      </c>
      <c r="H171" s="20">
        <v>115</v>
      </c>
      <c r="I171" s="20">
        <v>2000</v>
      </c>
    </row>
    <row r="172" spans="1:9" x14ac:dyDescent="0.3">
      <c r="B172" t="s">
        <v>237</v>
      </c>
      <c r="F172" s="20">
        <v>58</v>
      </c>
      <c r="G172" s="12">
        <v>2.9000000000000001E-2</v>
      </c>
      <c r="H172" s="20">
        <v>115</v>
      </c>
      <c r="I172" s="20">
        <v>2000</v>
      </c>
    </row>
    <row r="173" spans="1:9" x14ac:dyDescent="0.3">
      <c r="A173" t="s">
        <v>278</v>
      </c>
      <c r="F173" s="20">
        <v>58</v>
      </c>
      <c r="G173" s="12">
        <v>2.9000000000000001E-2</v>
      </c>
      <c r="H173" s="20">
        <v>115</v>
      </c>
      <c r="I173" s="20">
        <v>2000</v>
      </c>
    </row>
    <row r="174" spans="1:9" x14ac:dyDescent="0.3">
      <c r="A174" t="s">
        <v>61</v>
      </c>
      <c r="B174" t="s">
        <v>24</v>
      </c>
      <c r="C174" t="s">
        <v>19</v>
      </c>
      <c r="D174" t="s">
        <v>10</v>
      </c>
      <c r="E174" t="s">
        <v>9</v>
      </c>
      <c r="F174" s="20">
        <v>59</v>
      </c>
      <c r="G174" s="12">
        <v>2.9499999999999998E-2</v>
      </c>
      <c r="H174" s="20">
        <v>920</v>
      </c>
      <c r="I174" s="20">
        <v>2000</v>
      </c>
    </row>
    <row r="175" spans="1:9" x14ac:dyDescent="0.3">
      <c r="D175" t="s">
        <v>269</v>
      </c>
      <c r="F175" s="20">
        <v>59</v>
      </c>
      <c r="G175" s="12">
        <v>2.9499999999999998E-2</v>
      </c>
      <c r="H175" s="20">
        <v>920</v>
      </c>
      <c r="I175" s="20">
        <v>2000</v>
      </c>
    </row>
    <row r="176" spans="1:9" x14ac:dyDescent="0.3">
      <c r="C176" t="s">
        <v>249</v>
      </c>
      <c r="F176" s="20">
        <v>59</v>
      </c>
      <c r="G176" s="12">
        <v>2.9499999999999998E-2</v>
      </c>
      <c r="H176" s="20">
        <v>920</v>
      </c>
      <c r="I176" s="20">
        <v>2000</v>
      </c>
    </row>
    <row r="177" spans="1:9" x14ac:dyDescent="0.3">
      <c r="B177" t="s">
        <v>234</v>
      </c>
      <c r="F177" s="20">
        <v>59</v>
      </c>
      <c r="G177" s="12">
        <v>2.9499999999999998E-2</v>
      </c>
      <c r="H177" s="20">
        <v>920</v>
      </c>
      <c r="I177" s="20">
        <v>2000</v>
      </c>
    </row>
    <row r="178" spans="1:9" x14ac:dyDescent="0.3">
      <c r="A178" t="s">
        <v>279</v>
      </c>
      <c r="F178" s="20">
        <v>59</v>
      </c>
      <c r="G178" s="12">
        <v>2.9499999999999998E-2</v>
      </c>
      <c r="H178" s="20">
        <v>920</v>
      </c>
      <c r="I178" s="20">
        <v>2000</v>
      </c>
    </row>
    <row r="179" spans="1:9" x14ac:dyDescent="0.3">
      <c r="A179" t="s">
        <v>62</v>
      </c>
      <c r="B179" t="s">
        <v>25</v>
      </c>
      <c r="C179" t="s">
        <v>21</v>
      </c>
      <c r="D179" t="s">
        <v>10</v>
      </c>
      <c r="E179" t="s">
        <v>8</v>
      </c>
      <c r="F179" s="20">
        <v>60</v>
      </c>
      <c r="G179" s="12">
        <v>0.03</v>
      </c>
      <c r="H179" s="20">
        <v>190</v>
      </c>
      <c r="I179" s="20">
        <v>2000</v>
      </c>
    </row>
    <row r="180" spans="1:9" x14ac:dyDescent="0.3">
      <c r="D180" t="s">
        <v>269</v>
      </c>
      <c r="F180" s="20">
        <v>60</v>
      </c>
      <c r="G180" s="12">
        <v>0.03</v>
      </c>
      <c r="H180" s="20">
        <v>190</v>
      </c>
      <c r="I180" s="20">
        <v>2000</v>
      </c>
    </row>
    <row r="181" spans="1:9" x14ac:dyDescent="0.3">
      <c r="C181" t="s">
        <v>251</v>
      </c>
      <c r="F181" s="20">
        <v>60</v>
      </c>
      <c r="G181" s="12">
        <v>0.03</v>
      </c>
      <c r="H181" s="20">
        <v>190</v>
      </c>
      <c r="I181" s="20">
        <v>2000</v>
      </c>
    </row>
    <row r="182" spans="1:9" x14ac:dyDescent="0.3">
      <c r="B182" t="s">
        <v>237</v>
      </c>
      <c r="F182" s="20">
        <v>60</v>
      </c>
      <c r="G182" s="12">
        <v>0.03</v>
      </c>
      <c r="H182" s="20">
        <v>190</v>
      </c>
      <c r="I182" s="20">
        <v>2000</v>
      </c>
    </row>
    <row r="183" spans="1:9" x14ac:dyDescent="0.3">
      <c r="A183" t="s">
        <v>280</v>
      </c>
      <c r="F183" s="20">
        <v>60</v>
      </c>
      <c r="G183" s="12">
        <v>0.03</v>
      </c>
      <c r="H183" s="20">
        <v>190</v>
      </c>
      <c r="I183" s="20">
        <v>2000</v>
      </c>
    </row>
    <row r="184" spans="1:9" x14ac:dyDescent="0.3">
      <c r="A184" t="s">
        <v>63</v>
      </c>
      <c r="B184" t="s">
        <v>24</v>
      </c>
      <c r="C184" t="s">
        <v>13</v>
      </c>
      <c r="D184" t="s">
        <v>10</v>
      </c>
      <c r="E184" t="s">
        <v>8</v>
      </c>
      <c r="F184" s="20">
        <v>61</v>
      </c>
      <c r="G184" s="12">
        <v>3.0499999999999999E-2</v>
      </c>
      <c r="H184" s="20">
        <v>410</v>
      </c>
      <c r="I184" s="20">
        <v>2000</v>
      </c>
    </row>
    <row r="185" spans="1:9" x14ac:dyDescent="0.3">
      <c r="D185" t="s">
        <v>269</v>
      </c>
      <c r="F185" s="20">
        <v>61</v>
      </c>
      <c r="G185" s="12">
        <v>3.0499999999999999E-2</v>
      </c>
      <c r="H185" s="20">
        <v>410</v>
      </c>
      <c r="I185" s="20">
        <v>2000</v>
      </c>
    </row>
    <row r="186" spans="1:9" x14ac:dyDescent="0.3">
      <c r="C186" t="s">
        <v>233</v>
      </c>
      <c r="F186" s="20">
        <v>61</v>
      </c>
      <c r="G186" s="12">
        <v>3.0499999999999999E-2</v>
      </c>
      <c r="H186" s="20">
        <v>410</v>
      </c>
      <c r="I186" s="20">
        <v>2000</v>
      </c>
    </row>
    <row r="187" spans="1:9" x14ac:dyDescent="0.3">
      <c r="B187" t="s">
        <v>234</v>
      </c>
      <c r="F187" s="20">
        <v>61</v>
      </c>
      <c r="G187" s="12">
        <v>3.0499999999999999E-2</v>
      </c>
      <c r="H187" s="20">
        <v>410</v>
      </c>
      <c r="I187" s="20">
        <v>2000</v>
      </c>
    </row>
    <row r="188" spans="1:9" x14ac:dyDescent="0.3">
      <c r="A188" t="s">
        <v>281</v>
      </c>
      <c r="F188" s="20">
        <v>61</v>
      </c>
      <c r="G188" s="12">
        <v>3.0499999999999999E-2</v>
      </c>
      <c r="H188" s="20">
        <v>410</v>
      </c>
      <c r="I188" s="20">
        <v>2000</v>
      </c>
    </row>
    <row r="189" spans="1:9" x14ac:dyDescent="0.3">
      <c r="A189" t="s">
        <v>64</v>
      </c>
      <c r="B189" t="s">
        <v>25</v>
      </c>
      <c r="C189" t="s">
        <v>14</v>
      </c>
      <c r="D189" t="s">
        <v>10</v>
      </c>
      <c r="E189" t="s">
        <v>8</v>
      </c>
      <c r="F189" s="20">
        <v>62</v>
      </c>
      <c r="G189" s="12">
        <v>3.1E-2</v>
      </c>
      <c r="H189" s="20">
        <v>70</v>
      </c>
      <c r="I189" s="20">
        <v>2000</v>
      </c>
    </row>
    <row r="190" spans="1:9" x14ac:dyDescent="0.3">
      <c r="D190" t="s">
        <v>269</v>
      </c>
      <c r="F190" s="20">
        <v>62</v>
      </c>
      <c r="G190" s="12">
        <v>3.1E-2</v>
      </c>
      <c r="H190" s="20">
        <v>70</v>
      </c>
      <c r="I190" s="20">
        <v>2000</v>
      </c>
    </row>
    <row r="191" spans="1:9" x14ac:dyDescent="0.3">
      <c r="C191" t="s">
        <v>236</v>
      </c>
      <c r="F191" s="20">
        <v>62</v>
      </c>
      <c r="G191" s="12">
        <v>3.1E-2</v>
      </c>
      <c r="H191" s="20">
        <v>70</v>
      </c>
      <c r="I191" s="20">
        <v>2000</v>
      </c>
    </row>
    <row r="192" spans="1:9" x14ac:dyDescent="0.3">
      <c r="B192" t="s">
        <v>237</v>
      </c>
      <c r="F192" s="20">
        <v>62</v>
      </c>
      <c r="G192" s="12">
        <v>3.1E-2</v>
      </c>
      <c r="H192" s="20">
        <v>70</v>
      </c>
      <c r="I192" s="20">
        <v>2000</v>
      </c>
    </row>
    <row r="193" spans="1:9" x14ac:dyDescent="0.3">
      <c r="A193" t="s">
        <v>282</v>
      </c>
      <c r="F193" s="20">
        <v>62</v>
      </c>
      <c r="G193" s="12">
        <v>3.1E-2</v>
      </c>
      <c r="H193" s="20">
        <v>70</v>
      </c>
      <c r="I193" s="20">
        <v>2000</v>
      </c>
    </row>
    <row r="194" spans="1:9" x14ac:dyDescent="0.3">
      <c r="A194" t="s">
        <v>65</v>
      </c>
      <c r="B194" t="s">
        <v>24</v>
      </c>
      <c r="C194" t="s">
        <v>15</v>
      </c>
      <c r="D194" t="s">
        <v>10</v>
      </c>
      <c r="E194" t="s">
        <v>9</v>
      </c>
      <c r="F194" s="20">
        <v>63</v>
      </c>
      <c r="G194" s="12">
        <v>3.15E-2</v>
      </c>
      <c r="H194" s="20">
        <v>880</v>
      </c>
      <c r="I194" s="20">
        <v>2000</v>
      </c>
    </row>
    <row r="195" spans="1:9" x14ac:dyDescent="0.3">
      <c r="D195" t="s">
        <v>269</v>
      </c>
      <c r="F195" s="20">
        <v>63</v>
      </c>
      <c r="G195" s="12">
        <v>3.15E-2</v>
      </c>
      <c r="H195" s="20">
        <v>880</v>
      </c>
      <c r="I195" s="20">
        <v>2000</v>
      </c>
    </row>
    <row r="196" spans="1:9" x14ac:dyDescent="0.3">
      <c r="C196" t="s">
        <v>239</v>
      </c>
      <c r="F196" s="20">
        <v>63</v>
      </c>
      <c r="G196" s="12">
        <v>3.15E-2</v>
      </c>
      <c r="H196" s="20">
        <v>880</v>
      </c>
      <c r="I196" s="20">
        <v>2000</v>
      </c>
    </row>
    <row r="197" spans="1:9" x14ac:dyDescent="0.3">
      <c r="B197" t="s">
        <v>234</v>
      </c>
      <c r="F197" s="20">
        <v>63</v>
      </c>
      <c r="G197" s="12">
        <v>3.15E-2</v>
      </c>
      <c r="H197" s="20">
        <v>880</v>
      </c>
      <c r="I197" s="20">
        <v>2000</v>
      </c>
    </row>
    <row r="198" spans="1:9" x14ac:dyDescent="0.3">
      <c r="A198" t="s">
        <v>283</v>
      </c>
      <c r="F198" s="20">
        <v>63</v>
      </c>
      <c r="G198" s="12">
        <v>3.15E-2</v>
      </c>
      <c r="H198" s="20">
        <v>880</v>
      </c>
      <c r="I198" s="20">
        <v>2000</v>
      </c>
    </row>
    <row r="199" spans="1:9" x14ac:dyDescent="0.3">
      <c r="A199" t="s">
        <v>66</v>
      </c>
      <c r="B199" t="s">
        <v>25</v>
      </c>
      <c r="C199" t="s">
        <v>16</v>
      </c>
      <c r="D199" t="s">
        <v>10</v>
      </c>
      <c r="E199" t="s">
        <v>8</v>
      </c>
      <c r="F199" s="20">
        <v>64</v>
      </c>
      <c r="G199" s="12">
        <v>3.2000000000000001E-2</v>
      </c>
      <c r="H199" s="20">
        <v>105</v>
      </c>
      <c r="I199" s="20">
        <v>2000</v>
      </c>
    </row>
    <row r="200" spans="1:9" x14ac:dyDescent="0.3">
      <c r="D200" t="s">
        <v>269</v>
      </c>
      <c r="F200" s="20">
        <v>64</v>
      </c>
      <c r="G200" s="12">
        <v>3.2000000000000001E-2</v>
      </c>
      <c r="H200" s="20">
        <v>105</v>
      </c>
      <c r="I200" s="20">
        <v>2000</v>
      </c>
    </row>
    <row r="201" spans="1:9" x14ac:dyDescent="0.3">
      <c r="C201" t="s">
        <v>241</v>
      </c>
      <c r="F201" s="20">
        <v>64</v>
      </c>
      <c r="G201" s="12">
        <v>3.2000000000000001E-2</v>
      </c>
      <c r="H201" s="20">
        <v>105</v>
      </c>
      <c r="I201" s="20">
        <v>2000</v>
      </c>
    </row>
    <row r="202" spans="1:9" x14ac:dyDescent="0.3">
      <c r="B202" t="s">
        <v>237</v>
      </c>
      <c r="F202" s="20">
        <v>64</v>
      </c>
      <c r="G202" s="12">
        <v>3.2000000000000001E-2</v>
      </c>
      <c r="H202" s="20">
        <v>105</v>
      </c>
      <c r="I202" s="20">
        <v>2000</v>
      </c>
    </row>
    <row r="203" spans="1:9" x14ac:dyDescent="0.3">
      <c r="A203" t="s">
        <v>284</v>
      </c>
      <c r="F203" s="20">
        <v>64</v>
      </c>
      <c r="G203" s="12">
        <v>3.2000000000000001E-2</v>
      </c>
      <c r="H203" s="20">
        <v>105</v>
      </c>
      <c r="I203" s="20">
        <v>2000</v>
      </c>
    </row>
    <row r="204" spans="1:9" x14ac:dyDescent="0.3">
      <c r="A204" t="s">
        <v>67</v>
      </c>
      <c r="B204" t="s">
        <v>24</v>
      </c>
      <c r="C204" t="s">
        <v>17</v>
      </c>
      <c r="D204" t="s">
        <v>10</v>
      </c>
      <c r="E204" t="s">
        <v>7</v>
      </c>
      <c r="F204" s="20">
        <v>65</v>
      </c>
      <c r="G204" s="12">
        <v>3.2500000000000001E-2</v>
      </c>
      <c r="H204" s="20">
        <v>550</v>
      </c>
      <c r="I204" s="20">
        <v>2000</v>
      </c>
    </row>
    <row r="205" spans="1:9" x14ac:dyDescent="0.3">
      <c r="D205" t="s">
        <v>269</v>
      </c>
      <c r="F205" s="20">
        <v>65</v>
      </c>
      <c r="G205" s="12">
        <v>3.2500000000000001E-2</v>
      </c>
      <c r="H205" s="20">
        <v>550</v>
      </c>
      <c r="I205" s="20">
        <v>2000</v>
      </c>
    </row>
    <row r="206" spans="1:9" x14ac:dyDescent="0.3">
      <c r="C206" t="s">
        <v>243</v>
      </c>
      <c r="F206" s="20">
        <v>65</v>
      </c>
      <c r="G206" s="12">
        <v>3.2500000000000001E-2</v>
      </c>
      <c r="H206" s="20">
        <v>550</v>
      </c>
      <c r="I206" s="20">
        <v>2000</v>
      </c>
    </row>
    <row r="207" spans="1:9" x14ac:dyDescent="0.3">
      <c r="B207" t="s">
        <v>234</v>
      </c>
      <c r="F207" s="20">
        <v>65</v>
      </c>
      <c r="G207" s="12">
        <v>3.2500000000000001E-2</v>
      </c>
      <c r="H207" s="20">
        <v>550</v>
      </c>
      <c r="I207" s="20">
        <v>2000</v>
      </c>
    </row>
    <row r="208" spans="1:9" x14ac:dyDescent="0.3">
      <c r="A208" t="s">
        <v>285</v>
      </c>
      <c r="F208" s="20">
        <v>65</v>
      </c>
      <c r="G208" s="12">
        <v>3.2500000000000001E-2</v>
      </c>
      <c r="H208" s="20">
        <v>550</v>
      </c>
      <c r="I208" s="20">
        <v>2000</v>
      </c>
    </row>
    <row r="209" spans="1:9" x14ac:dyDescent="0.3">
      <c r="A209" t="s">
        <v>68</v>
      </c>
      <c r="B209" t="s">
        <v>25</v>
      </c>
      <c r="C209" t="s">
        <v>20</v>
      </c>
      <c r="D209" t="s">
        <v>10</v>
      </c>
      <c r="E209" t="s">
        <v>8</v>
      </c>
      <c r="F209" s="20">
        <v>66</v>
      </c>
      <c r="G209" s="12">
        <v>3.3000000000000002E-2</v>
      </c>
      <c r="H209" s="20">
        <v>145</v>
      </c>
      <c r="I209" s="20">
        <v>2000</v>
      </c>
    </row>
    <row r="210" spans="1:9" x14ac:dyDescent="0.3">
      <c r="D210" t="s">
        <v>269</v>
      </c>
      <c r="F210" s="20">
        <v>66</v>
      </c>
      <c r="G210" s="12">
        <v>3.3000000000000002E-2</v>
      </c>
      <c r="H210" s="20">
        <v>145</v>
      </c>
      <c r="I210" s="20">
        <v>2000</v>
      </c>
    </row>
    <row r="211" spans="1:9" x14ac:dyDescent="0.3">
      <c r="C211" t="s">
        <v>245</v>
      </c>
      <c r="F211" s="20">
        <v>66</v>
      </c>
      <c r="G211" s="12">
        <v>3.3000000000000002E-2</v>
      </c>
      <c r="H211" s="20">
        <v>145</v>
      </c>
      <c r="I211" s="20">
        <v>2000</v>
      </c>
    </row>
    <row r="212" spans="1:9" x14ac:dyDescent="0.3">
      <c r="B212" t="s">
        <v>237</v>
      </c>
      <c r="F212" s="20">
        <v>66</v>
      </c>
      <c r="G212" s="12">
        <v>3.3000000000000002E-2</v>
      </c>
      <c r="H212" s="20">
        <v>145</v>
      </c>
      <c r="I212" s="20">
        <v>2000</v>
      </c>
    </row>
    <row r="213" spans="1:9" x14ac:dyDescent="0.3">
      <c r="A213" t="s">
        <v>286</v>
      </c>
      <c r="F213" s="20">
        <v>66</v>
      </c>
      <c r="G213" s="12">
        <v>3.3000000000000002E-2</v>
      </c>
      <c r="H213" s="20">
        <v>145</v>
      </c>
      <c r="I213" s="20">
        <v>2000</v>
      </c>
    </row>
    <row r="214" spans="1:9" x14ac:dyDescent="0.3">
      <c r="A214" t="s">
        <v>69</v>
      </c>
      <c r="B214" t="s">
        <v>24</v>
      </c>
      <c r="C214" t="s">
        <v>18</v>
      </c>
      <c r="D214" t="s">
        <v>10</v>
      </c>
      <c r="E214" t="s">
        <v>8</v>
      </c>
      <c r="F214" s="20">
        <v>67</v>
      </c>
      <c r="G214" s="12">
        <v>3.3500000000000002E-2</v>
      </c>
      <c r="H214" s="20">
        <v>300</v>
      </c>
      <c r="I214" s="20">
        <v>2000</v>
      </c>
    </row>
    <row r="215" spans="1:9" x14ac:dyDescent="0.3">
      <c r="D215" t="s">
        <v>269</v>
      </c>
      <c r="F215" s="20">
        <v>67</v>
      </c>
      <c r="G215" s="12">
        <v>3.3500000000000002E-2</v>
      </c>
      <c r="H215" s="20">
        <v>300</v>
      </c>
      <c r="I215" s="20">
        <v>2000</v>
      </c>
    </row>
    <row r="216" spans="1:9" x14ac:dyDescent="0.3">
      <c r="C216" t="s">
        <v>247</v>
      </c>
      <c r="F216" s="20">
        <v>67</v>
      </c>
      <c r="G216" s="12">
        <v>3.3500000000000002E-2</v>
      </c>
      <c r="H216" s="20">
        <v>300</v>
      </c>
      <c r="I216" s="20">
        <v>2000</v>
      </c>
    </row>
    <row r="217" spans="1:9" x14ac:dyDescent="0.3">
      <c r="B217" t="s">
        <v>234</v>
      </c>
      <c r="F217" s="20">
        <v>67</v>
      </c>
      <c r="G217" s="12">
        <v>3.3500000000000002E-2</v>
      </c>
      <c r="H217" s="20">
        <v>300</v>
      </c>
      <c r="I217" s="20">
        <v>2000</v>
      </c>
    </row>
    <row r="218" spans="1:9" x14ac:dyDescent="0.3">
      <c r="A218" t="s">
        <v>287</v>
      </c>
      <c r="F218" s="20">
        <v>67</v>
      </c>
      <c r="G218" s="12">
        <v>3.3500000000000002E-2</v>
      </c>
      <c r="H218" s="20">
        <v>300</v>
      </c>
      <c r="I218" s="20">
        <v>2000</v>
      </c>
    </row>
    <row r="219" spans="1:9" x14ac:dyDescent="0.3">
      <c r="A219" t="s">
        <v>70</v>
      </c>
      <c r="B219" t="s">
        <v>25</v>
      </c>
      <c r="C219" t="s">
        <v>19</v>
      </c>
      <c r="D219" t="s">
        <v>10</v>
      </c>
      <c r="E219" t="s">
        <v>8</v>
      </c>
      <c r="F219" s="20">
        <v>68</v>
      </c>
      <c r="G219" s="12">
        <v>3.4000000000000002E-2</v>
      </c>
      <c r="H219" s="20">
        <v>65</v>
      </c>
      <c r="I219" s="20">
        <v>2000</v>
      </c>
    </row>
    <row r="220" spans="1:9" x14ac:dyDescent="0.3">
      <c r="D220" t="s">
        <v>269</v>
      </c>
      <c r="F220" s="20">
        <v>68</v>
      </c>
      <c r="G220" s="12">
        <v>3.4000000000000002E-2</v>
      </c>
      <c r="H220" s="20">
        <v>65</v>
      </c>
      <c r="I220" s="20">
        <v>2000</v>
      </c>
    </row>
    <row r="221" spans="1:9" x14ac:dyDescent="0.3">
      <c r="C221" t="s">
        <v>249</v>
      </c>
      <c r="F221" s="20">
        <v>68</v>
      </c>
      <c r="G221" s="12">
        <v>3.4000000000000002E-2</v>
      </c>
      <c r="H221" s="20">
        <v>65</v>
      </c>
      <c r="I221" s="20">
        <v>2000</v>
      </c>
    </row>
    <row r="222" spans="1:9" x14ac:dyDescent="0.3">
      <c r="B222" t="s">
        <v>237</v>
      </c>
      <c r="F222" s="20">
        <v>68</v>
      </c>
      <c r="G222" s="12">
        <v>3.4000000000000002E-2</v>
      </c>
      <c r="H222" s="20">
        <v>65</v>
      </c>
      <c r="I222" s="20">
        <v>2000</v>
      </c>
    </row>
    <row r="223" spans="1:9" x14ac:dyDescent="0.3">
      <c r="A223" t="s">
        <v>288</v>
      </c>
      <c r="F223" s="20">
        <v>68</v>
      </c>
      <c r="G223" s="12">
        <v>3.4000000000000002E-2</v>
      </c>
      <c r="H223" s="20">
        <v>65</v>
      </c>
      <c r="I223" s="20">
        <v>2000</v>
      </c>
    </row>
    <row r="224" spans="1:9" x14ac:dyDescent="0.3">
      <c r="A224" t="s">
        <v>71</v>
      </c>
      <c r="B224" t="s">
        <v>24</v>
      </c>
      <c r="C224" t="s">
        <v>21</v>
      </c>
      <c r="D224" t="s">
        <v>10</v>
      </c>
      <c r="E224" t="s">
        <v>9</v>
      </c>
      <c r="F224" s="20">
        <v>69</v>
      </c>
      <c r="G224" s="12">
        <v>3.4500000000000003E-2</v>
      </c>
      <c r="H224" s="20">
        <v>740</v>
      </c>
      <c r="I224" s="20">
        <v>2000</v>
      </c>
    </row>
    <row r="225" spans="1:9" x14ac:dyDescent="0.3">
      <c r="D225" t="s">
        <v>269</v>
      </c>
      <c r="F225" s="20">
        <v>69</v>
      </c>
      <c r="G225" s="12">
        <v>3.4500000000000003E-2</v>
      </c>
      <c r="H225" s="20">
        <v>740</v>
      </c>
      <c r="I225" s="20">
        <v>2000</v>
      </c>
    </row>
    <row r="226" spans="1:9" x14ac:dyDescent="0.3">
      <c r="C226" t="s">
        <v>251</v>
      </c>
      <c r="F226" s="20">
        <v>69</v>
      </c>
      <c r="G226" s="12">
        <v>3.4500000000000003E-2</v>
      </c>
      <c r="H226" s="20">
        <v>740</v>
      </c>
      <c r="I226" s="20">
        <v>2000</v>
      </c>
    </row>
    <row r="227" spans="1:9" x14ac:dyDescent="0.3">
      <c r="B227" t="s">
        <v>234</v>
      </c>
      <c r="F227" s="20">
        <v>69</v>
      </c>
      <c r="G227" s="12">
        <v>3.4500000000000003E-2</v>
      </c>
      <c r="H227" s="20">
        <v>740</v>
      </c>
      <c r="I227" s="20">
        <v>2000</v>
      </c>
    </row>
    <row r="228" spans="1:9" x14ac:dyDescent="0.3">
      <c r="A228" t="s">
        <v>289</v>
      </c>
      <c r="F228" s="20">
        <v>69</v>
      </c>
      <c r="G228" s="12">
        <v>3.4500000000000003E-2</v>
      </c>
      <c r="H228" s="20">
        <v>740</v>
      </c>
      <c r="I228" s="20">
        <v>2000</v>
      </c>
    </row>
    <row r="229" spans="1:9" x14ac:dyDescent="0.3">
      <c r="A229" t="s">
        <v>72</v>
      </c>
      <c r="B229" t="s">
        <v>25</v>
      </c>
      <c r="C229" t="s">
        <v>13</v>
      </c>
      <c r="D229" t="s">
        <v>11</v>
      </c>
      <c r="E229" t="s">
        <v>8</v>
      </c>
      <c r="F229" s="20">
        <v>80</v>
      </c>
      <c r="G229" s="12">
        <v>0.04</v>
      </c>
      <c r="H229" s="20">
        <v>210</v>
      </c>
      <c r="I229" s="20">
        <v>2000</v>
      </c>
    </row>
    <row r="230" spans="1:9" x14ac:dyDescent="0.3">
      <c r="D230" t="s">
        <v>290</v>
      </c>
      <c r="F230" s="20">
        <v>80</v>
      </c>
      <c r="G230" s="12">
        <v>0.04</v>
      </c>
      <c r="H230" s="20">
        <v>210</v>
      </c>
      <c r="I230" s="20">
        <v>2000</v>
      </c>
    </row>
    <row r="231" spans="1:9" x14ac:dyDescent="0.3">
      <c r="C231" t="s">
        <v>233</v>
      </c>
      <c r="F231" s="20">
        <v>80</v>
      </c>
      <c r="G231" s="12">
        <v>0.04</v>
      </c>
      <c r="H231" s="20">
        <v>210</v>
      </c>
      <c r="I231" s="20">
        <v>2000</v>
      </c>
    </row>
    <row r="232" spans="1:9" x14ac:dyDescent="0.3">
      <c r="B232" t="s">
        <v>237</v>
      </c>
      <c r="F232" s="20">
        <v>80</v>
      </c>
      <c r="G232" s="12">
        <v>0.04</v>
      </c>
      <c r="H232" s="20">
        <v>210</v>
      </c>
      <c r="I232" s="20">
        <v>2000</v>
      </c>
    </row>
    <row r="233" spans="1:9" x14ac:dyDescent="0.3">
      <c r="A233" t="s">
        <v>291</v>
      </c>
      <c r="F233" s="20">
        <v>80</v>
      </c>
      <c r="G233" s="12">
        <v>0.04</v>
      </c>
      <c r="H233" s="20">
        <v>210</v>
      </c>
      <c r="I233" s="20">
        <v>2000</v>
      </c>
    </row>
    <row r="234" spans="1:9" x14ac:dyDescent="0.3">
      <c r="A234" t="s">
        <v>73</v>
      </c>
      <c r="B234" t="s">
        <v>24</v>
      </c>
      <c r="C234" t="s">
        <v>14</v>
      </c>
      <c r="D234" t="s">
        <v>6</v>
      </c>
      <c r="E234" t="s">
        <v>8</v>
      </c>
      <c r="F234" s="20">
        <v>20</v>
      </c>
      <c r="G234" s="12">
        <v>0.01</v>
      </c>
      <c r="H234" s="20">
        <v>430</v>
      </c>
      <c r="I234" s="20">
        <v>2000</v>
      </c>
    </row>
    <row r="235" spans="1:9" x14ac:dyDescent="0.3">
      <c r="D235" t="s">
        <v>232</v>
      </c>
      <c r="F235" s="20">
        <v>20</v>
      </c>
      <c r="G235" s="12">
        <v>0.01</v>
      </c>
      <c r="H235" s="20">
        <v>430</v>
      </c>
      <c r="I235" s="20">
        <v>2000</v>
      </c>
    </row>
    <row r="236" spans="1:9" x14ac:dyDescent="0.3">
      <c r="C236" t="s">
        <v>236</v>
      </c>
      <c r="F236" s="20">
        <v>20</v>
      </c>
      <c r="G236" s="12">
        <v>0.01</v>
      </c>
      <c r="H236" s="20">
        <v>430</v>
      </c>
      <c r="I236" s="20">
        <v>2000</v>
      </c>
    </row>
    <row r="237" spans="1:9" x14ac:dyDescent="0.3">
      <c r="B237" t="s">
        <v>234</v>
      </c>
      <c r="F237" s="20">
        <v>20</v>
      </c>
      <c r="G237" s="12">
        <v>0.01</v>
      </c>
      <c r="H237" s="20">
        <v>430</v>
      </c>
      <c r="I237" s="20">
        <v>2000</v>
      </c>
    </row>
    <row r="238" spans="1:9" x14ac:dyDescent="0.3">
      <c r="A238" t="s">
        <v>292</v>
      </c>
      <c r="F238" s="20">
        <v>20</v>
      </c>
      <c r="G238" s="12">
        <v>0.01</v>
      </c>
      <c r="H238" s="20">
        <v>430</v>
      </c>
      <c r="I238" s="20">
        <v>2000</v>
      </c>
    </row>
    <row r="239" spans="1:9" x14ac:dyDescent="0.3">
      <c r="A239" t="s">
        <v>74</v>
      </c>
      <c r="B239" t="s">
        <v>25</v>
      </c>
      <c r="C239" t="s">
        <v>15</v>
      </c>
      <c r="D239" t="s">
        <v>11</v>
      </c>
      <c r="E239" t="s">
        <v>8</v>
      </c>
      <c r="F239" s="20">
        <v>72</v>
      </c>
      <c r="G239" s="12">
        <v>3.5999999999999997E-2</v>
      </c>
      <c r="H239" s="20">
        <v>125</v>
      </c>
      <c r="I239" s="20">
        <v>2000</v>
      </c>
    </row>
    <row r="240" spans="1:9" x14ac:dyDescent="0.3">
      <c r="D240" t="s">
        <v>290</v>
      </c>
      <c r="F240" s="20">
        <v>72</v>
      </c>
      <c r="G240" s="12">
        <v>3.5999999999999997E-2</v>
      </c>
      <c r="H240" s="20">
        <v>125</v>
      </c>
      <c r="I240" s="20">
        <v>2000</v>
      </c>
    </row>
    <row r="241" spans="1:9" x14ac:dyDescent="0.3">
      <c r="C241" t="s">
        <v>239</v>
      </c>
      <c r="F241" s="20">
        <v>72</v>
      </c>
      <c r="G241" s="12">
        <v>3.5999999999999997E-2</v>
      </c>
      <c r="H241" s="20">
        <v>125</v>
      </c>
      <c r="I241" s="20">
        <v>2000</v>
      </c>
    </row>
    <row r="242" spans="1:9" x14ac:dyDescent="0.3">
      <c r="B242" t="s">
        <v>237</v>
      </c>
      <c r="F242" s="20">
        <v>72</v>
      </c>
      <c r="G242" s="12">
        <v>3.5999999999999997E-2</v>
      </c>
      <c r="H242" s="20">
        <v>125</v>
      </c>
      <c r="I242" s="20">
        <v>2000</v>
      </c>
    </row>
    <row r="243" spans="1:9" x14ac:dyDescent="0.3">
      <c r="A243" t="s">
        <v>293</v>
      </c>
      <c r="F243" s="20">
        <v>72</v>
      </c>
      <c r="G243" s="12">
        <v>3.5999999999999997E-2</v>
      </c>
      <c r="H243" s="20">
        <v>125</v>
      </c>
      <c r="I243" s="20">
        <v>2000</v>
      </c>
    </row>
    <row r="244" spans="1:9" x14ac:dyDescent="0.3">
      <c r="A244" t="s">
        <v>75</v>
      </c>
      <c r="B244" t="s">
        <v>24</v>
      </c>
      <c r="C244" t="s">
        <v>16</v>
      </c>
      <c r="D244" t="s">
        <v>10</v>
      </c>
      <c r="E244" t="s">
        <v>7</v>
      </c>
      <c r="F244" s="20">
        <v>60</v>
      </c>
      <c r="G244" s="12">
        <v>0.03</v>
      </c>
      <c r="H244" s="20">
        <v>680</v>
      </c>
      <c r="I244" s="20">
        <v>2000</v>
      </c>
    </row>
    <row r="245" spans="1:9" x14ac:dyDescent="0.3">
      <c r="D245" t="s">
        <v>269</v>
      </c>
      <c r="F245" s="20">
        <v>60</v>
      </c>
      <c r="G245" s="12">
        <v>0.03</v>
      </c>
      <c r="H245" s="20">
        <v>680</v>
      </c>
      <c r="I245" s="20">
        <v>2000</v>
      </c>
    </row>
    <row r="246" spans="1:9" x14ac:dyDescent="0.3">
      <c r="C246" t="s">
        <v>241</v>
      </c>
      <c r="F246" s="20">
        <v>60</v>
      </c>
      <c r="G246" s="12">
        <v>0.03</v>
      </c>
      <c r="H246" s="20">
        <v>680</v>
      </c>
      <c r="I246" s="20">
        <v>2000</v>
      </c>
    </row>
    <row r="247" spans="1:9" x14ac:dyDescent="0.3">
      <c r="B247" t="s">
        <v>234</v>
      </c>
      <c r="F247" s="20">
        <v>60</v>
      </c>
      <c r="G247" s="12">
        <v>0.03</v>
      </c>
      <c r="H247" s="20">
        <v>680</v>
      </c>
      <c r="I247" s="20">
        <v>2000</v>
      </c>
    </row>
    <row r="248" spans="1:9" x14ac:dyDescent="0.3">
      <c r="A248" t="s">
        <v>294</v>
      </c>
      <c r="F248" s="20">
        <v>60</v>
      </c>
      <c r="G248" s="12">
        <v>0.03</v>
      </c>
      <c r="H248" s="20">
        <v>680</v>
      </c>
      <c r="I248" s="20">
        <v>2000</v>
      </c>
    </row>
    <row r="249" spans="1:9" x14ac:dyDescent="0.3">
      <c r="A249" t="s">
        <v>76</v>
      </c>
      <c r="B249" t="s">
        <v>25</v>
      </c>
      <c r="C249" t="s">
        <v>17</v>
      </c>
      <c r="D249" t="s">
        <v>11</v>
      </c>
      <c r="E249" t="s">
        <v>8</v>
      </c>
      <c r="F249" s="20">
        <v>74</v>
      </c>
      <c r="G249" s="12">
        <v>3.6999999999999998E-2</v>
      </c>
      <c r="H249" s="20">
        <v>250</v>
      </c>
      <c r="I249" s="20">
        <v>2000</v>
      </c>
    </row>
    <row r="250" spans="1:9" x14ac:dyDescent="0.3">
      <c r="D250" t="s">
        <v>290</v>
      </c>
      <c r="F250" s="20">
        <v>74</v>
      </c>
      <c r="G250" s="12">
        <v>3.6999999999999998E-2</v>
      </c>
      <c r="H250" s="20">
        <v>250</v>
      </c>
      <c r="I250" s="20">
        <v>2000</v>
      </c>
    </row>
    <row r="251" spans="1:9" x14ac:dyDescent="0.3">
      <c r="C251" t="s">
        <v>243</v>
      </c>
      <c r="F251" s="20">
        <v>74</v>
      </c>
      <c r="G251" s="12">
        <v>3.6999999999999998E-2</v>
      </c>
      <c r="H251" s="20">
        <v>250</v>
      </c>
      <c r="I251" s="20">
        <v>2000</v>
      </c>
    </row>
    <row r="252" spans="1:9" x14ac:dyDescent="0.3">
      <c r="B252" t="s">
        <v>237</v>
      </c>
      <c r="F252" s="20">
        <v>74</v>
      </c>
      <c r="G252" s="12">
        <v>3.6999999999999998E-2</v>
      </c>
      <c r="H252" s="20">
        <v>250</v>
      </c>
      <c r="I252" s="20">
        <v>2000</v>
      </c>
    </row>
    <row r="253" spans="1:9" x14ac:dyDescent="0.3">
      <c r="A253" t="s">
        <v>295</v>
      </c>
      <c r="F253" s="20">
        <v>74</v>
      </c>
      <c r="G253" s="12">
        <v>3.6999999999999998E-2</v>
      </c>
      <c r="H253" s="20">
        <v>250</v>
      </c>
      <c r="I253" s="20">
        <v>2000</v>
      </c>
    </row>
    <row r="254" spans="1:9" x14ac:dyDescent="0.3">
      <c r="A254" t="s">
        <v>77</v>
      </c>
      <c r="B254" t="s">
        <v>24</v>
      </c>
      <c r="C254" t="s">
        <v>20</v>
      </c>
      <c r="D254" t="s">
        <v>11</v>
      </c>
      <c r="E254" t="s">
        <v>9</v>
      </c>
      <c r="F254" s="20">
        <v>90</v>
      </c>
      <c r="G254" s="12">
        <v>4.4999999999999998E-2</v>
      </c>
      <c r="H254" s="20">
        <v>890</v>
      </c>
      <c r="I254" s="20">
        <v>2000</v>
      </c>
    </row>
    <row r="255" spans="1:9" x14ac:dyDescent="0.3">
      <c r="D255" t="s">
        <v>290</v>
      </c>
      <c r="F255" s="20">
        <v>90</v>
      </c>
      <c r="G255" s="12">
        <v>4.4999999999999998E-2</v>
      </c>
      <c r="H255" s="20">
        <v>890</v>
      </c>
      <c r="I255" s="20">
        <v>2000</v>
      </c>
    </row>
    <row r="256" spans="1:9" x14ac:dyDescent="0.3">
      <c r="C256" t="s">
        <v>245</v>
      </c>
      <c r="F256" s="20">
        <v>90</v>
      </c>
      <c r="G256" s="12">
        <v>4.4999999999999998E-2</v>
      </c>
      <c r="H256" s="20">
        <v>890</v>
      </c>
      <c r="I256" s="20">
        <v>2000</v>
      </c>
    </row>
    <row r="257" spans="1:9" x14ac:dyDescent="0.3">
      <c r="B257" t="s">
        <v>234</v>
      </c>
      <c r="F257" s="20">
        <v>90</v>
      </c>
      <c r="G257" s="12">
        <v>4.4999999999999998E-2</v>
      </c>
      <c r="H257" s="20">
        <v>890</v>
      </c>
      <c r="I257" s="20">
        <v>2000</v>
      </c>
    </row>
    <row r="258" spans="1:9" x14ac:dyDescent="0.3">
      <c r="A258" t="s">
        <v>296</v>
      </c>
      <c r="F258" s="20">
        <v>90</v>
      </c>
      <c r="G258" s="12">
        <v>4.4999999999999998E-2</v>
      </c>
      <c r="H258" s="20">
        <v>890</v>
      </c>
      <c r="I258" s="20">
        <v>2000</v>
      </c>
    </row>
    <row r="259" spans="1:9" x14ac:dyDescent="0.3">
      <c r="A259" t="s">
        <v>78</v>
      </c>
      <c r="B259" t="s">
        <v>25</v>
      </c>
      <c r="C259" t="s">
        <v>18</v>
      </c>
      <c r="D259" t="s">
        <v>11</v>
      </c>
      <c r="E259" t="s">
        <v>8</v>
      </c>
      <c r="F259" s="20">
        <v>76</v>
      </c>
      <c r="G259" s="12">
        <v>3.7999999999999999E-2</v>
      </c>
      <c r="H259" s="20">
        <v>340</v>
      </c>
      <c r="I259" s="20">
        <v>2000</v>
      </c>
    </row>
    <row r="260" spans="1:9" x14ac:dyDescent="0.3">
      <c r="D260" t="s">
        <v>290</v>
      </c>
      <c r="F260" s="20">
        <v>76</v>
      </c>
      <c r="G260" s="12">
        <v>3.7999999999999999E-2</v>
      </c>
      <c r="H260" s="20">
        <v>340</v>
      </c>
      <c r="I260" s="20">
        <v>2000</v>
      </c>
    </row>
    <row r="261" spans="1:9" x14ac:dyDescent="0.3">
      <c r="C261" t="s">
        <v>247</v>
      </c>
      <c r="F261" s="20">
        <v>76</v>
      </c>
      <c r="G261" s="12">
        <v>3.7999999999999999E-2</v>
      </c>
      <c r="H261" s="20">
        <v>340</v>
      </c>
      <c r="I261" s="20">
        <v>2000</v>
      </c>
    </row>
    <row r="262" spans="1:9" x14ac:dyDescent="0.3">
      <c r="B262" t="s">
        <v>237</v>
      </c>
      <c r="F262" s="20">
        <v>76</v>
      </c>
      <c r="G262" s="12">
        <v>3.7999999999999999E-2</v>
      </c>
      <c r="H262" s="20">
        <v>340</v>
      </c>
      <c r="I262" s="20">
        <v>2000</v>
      </c>
    </row>
    <row r="263" spans="1:9" x14ac:dyDescent="0.3">
      <c r="A263" t="s">
        <v>297</v>
      </c>
      <c r="F263" s="20">
        <v>76</v>
      </c>
      <c r="G263" s="12">
        <v>3.7999999999999999E-2</v>
      </c>
      <c r="H263" s="20">
        <v>340</v>
      </c>
      <c r="I263" s="20">
        <v>2000</v>
      </c>
    </row>
    <row r="264" spans="1:9" x14ac:dyDescent="0.3">
      <c r="A264" t="s">
        <v>79</v>
      </c>
      <c r="B264" t="s">
        <v>24</v>
      </c>
      <c r="C264" t="s">
        <v>19</v>
      </c>
      <c r="D264" t="s">
        <v>11</v>
      </c>
      <c r="E264" t="s">
        <v>8</v>
      </c>
      <c r="F264" s="20">
        <v>77</v>
      </c>
      <c r="G264" s="12">
        <v>3.85E-2</v>
      </c>
      <c r="H264" s="20">
        <v>275</v>
      </c>
      <c r="I264" s="20">
        <v>2000</v>
      </c>
    </row>
    <row r="265" spans="1:9" x14ac:dyDescent="0.3">
      <c r="D265" t="s">
        <v>290</v>
      </c>
      <c r="F265" s="20">
        <v>77</v>
      </c>
      <c r="G265" s="12">
        <v>3.85E-2</v>
      </c>
      <c r="H265" s="20">
        <v>275</v>
      </c>
      <c r="I265" s="20">
        <v>2000</v>
      </c>
    </row>
    <row r="266" spans="1:9" x14ac:dyDescent="0.3">
      <c r="C266" t="s">
        <v>249</v>
      </c>
      <c r="F266" s="20">
        <v>77</v>
      </c>
      <c r="G266" s="12">
        <v>3.85E-2</v>
      </c>
      <c r="H266" s="20">
        <v>275</v>
      </c>
      <c r="I266" s="20">
        <v>2000</v>
      </c>
    </row>
    <row r="267" spans="1:9" x14ac:dyDescent="0.3">
      <c r="B267" t="s">
        <v>234</v>
      </c>
      <c r="F267" s="20">
        <v>77</v>
      </c>
      <c r="G267" s="12">
        <v>3.85E-2</v>
      </c>
      <c r="H267" s="20">
        <v>275</v>
      </c>
      <c r="I267" s="20">
        <v>2000</v>
      </c>
    </row>
    <row r="268" spans="1:9" x14ac:dyDescent="0.3">
      <c r="A268" t="s">
        <v>298</v>
      </c>
      <c r="F268" s="20">
        <v>77</v>
      </c>
      <c r="G268" s="12">
        <v>3.85E-2</v>
      </c>
      <c r="H268" s="20">
        <v>275</v>
      </c>
      <c r="I268" s="20">
        <v>2000</v>
      </c>
    </row>
    <row r="269" spans="1:9" x14ac:dyDescent="0.3">
      <c r="A269" t="s">
        <v>80</v>
      </c>
      <c r="B269" t="s">
        <v>25</v>
      </c>
      <c r="C269" t="s">
        <v>21</v>
      </c>
      <c r="D269" t="s">
        <v>11</v>
      </c>
      <c r="E269" t="s">
        <v>7</v>
      </c>
      <c r="F269" s="20">
        <v>78</v>
      </c>
      <c r="G269" s="12">
        <v>3.9E-2</v>
      </c>
      <c r="H269" s="20">
        <v>600</v>
      </c>
      <c r="I269" s="20">
        <v>2000</v>
      </c>
    </row>
    <row r="270" spans="1:9" x14ac:dyDescent="0.3">
      <c r="D270" t="s">
        <v>290</v>
      </c>
      <c r="F270" s="20">
        <v>78</v>
      </c>
      <c r="G270" s="12">
        <v>3.9E-2</v>
      </c>
      <c r="H270" s="20">
        <v>600</v>
      </c>
      <c r="I270" s="20">
        <v>2000</v>
      </c>
    </row>
    <row r="271" spans="1:9" x14ac:dyDescent="0.3">
      <c r="C271" t="s">
        <v>251</v>
      </c>
      <c r="F271" s="20">
        <v>78</v>
      </c>
      <c r="G271" s="12">
        <v>3.9E-2</v>
      </c>
      <c r="H271" s="20">
        <v>600</v>
      </c>
      <c r="I271" s="20">
        <v>2000</v>
      </c>
    </row>
    <row r="272" spans="1:9" x14ac:dyDescent="0.3">
      <c r="B272" t="s">
        <v>237</v>
      </c>
      <c r="F272" s="20">
        <v>78</v>
      </c>
      <c r="G272" s="12">
        <v>3.9E-2</v>
      </c>
      <c r="H272" s="20">
        <v>600</v>
      </c>
      <c r="I272" s="20">
        <v>2000</v>
      </c>
    </row>
    <row r="273" spans="1:9" x14ac:dyDescent="0.3">
      <c r="A273" t="s">
        <v>299</v>
      </c>
      <c r="F273" s="20">
        <v>78</v>
      </c>
      <c r="G273" s="12">
        <v>3.9E-2</v>
      </c>
      <c r="H273" s="20">
        <v>600</v>
      </c>
      <c r="I273" s="20">
        <v>2000</v>
      </c>
    </row>
    <row r="274" spans="1:9" x14ac:dyDescent="0.3">
      <c r="A274" t="s">
        <v>81</v>
      </c>
      <c r="B274" t="s">
        <v>24</v>
      </c>
      <c r="C274" t="s">
        <v>13</v>
      </c>
      <c r="D274" t="s">
        <v>11</v>
      </c>
      <c r="E274" t="s">
        <v>8</v>
      </c>
      <c r="F274" s="20">
        <v>79</v>
      </c>
      <c r="G274" s="12">
        <v>3.95E-2</v>
      </c>
      <c r="H274" s="20">
        <v>115</v>
      </c>
      <c r="I274" s="20">
        <v>2000</v>
      </c>
    </row>
    <row r="275" spans="1:9" x14ac:dyDescent="0.3">
      <c r="D275" t="s">
        <v>290</v>
      </c>
      <c r="F275" s="20">
        <v>79</v>
      </c>
      <c r="G275" s="12">
        <v>3.95E-2</v>
      </c>
      <c r="H275" s="20">
        <v>115</v>
      </c>
      <c r="I275" s="20">
        <v>2000</v>
      </c>
    </row>
    <row r="276" spans="1:9" x14ac:dyDescent="0.3">
      <c r="C276" t="s">
        <v>233</v>
      </c>
      <c r="F276" s="20">
        <v>79</v>
      </c>
      <c r="G276" s="12">
        <v>3.95E-2</v>
      </c>
      <c r="H276" s="20">
        <v>115</v>
      </c>
      <c r="I276" s="20">
        <v>2000</v>
      </c>
    </row>
    <row r="277" spans="1:9" x14ac:dyDescent="0.3">
      <c r="B277" t="s">
        <v>234</v>
      </c>
      <c r="F277" s="20">
        <v>79</v>
      </c>
      <c r="G277" s="12">
        <v>3.95E-2</v>
      </c>
      <c r="H277" s="20">
        <v>115</v>
      </c>
      <c r="I277" s="20">
        <v>2000</v>
      </c>
    </row>
    <row r="278" spans="1:9" x14ac:dyDescent="0.3">
      <c r="A278" t="s">
        <v>300</v>
      </c>
      <c r="F278" s="20">
        <v>79</v>
      </c>
      <c r="G278" s="12">
        <v>3.95E-2</v>
      </c>
      <c r="H278" s="20">
        <v>115</v>
      </c>
      <c r="I278" s="20">
        <v>2000</v>
      </c>
    </row>
    <row r="279" spans="1:9" x14ac:dyDescent="0.3">
      <c r="A279" t="s">
        <v>82</v>
      </c>
      <c r="B279" t="s">
        <v>25</v>
      </c>
      <c r="C279" t="s">
        <v>14</v>
      </c>
      <c r="D279" t="s">
        <v>11</v>
      </c>
      <c r="E279" t="s">
        <v>9</v>
      </c>
      <c r="F279" s="20">
        <v>80</v>
      </c>
      <c r="G279" s="12">
        <v>0.04</v>
      </c>
      <c r="H279" s="20">
        <v>920</v>
      </c>
      <c r="I279" s="20">
        <v>2000</v>
      </c>
    </row>
    <row r="280" spans="1:9" x14ac:dyDescent="0.3">
      <c r="D280" t="s">
        <v>290</v>
      </c>
      <c r="F280" s="20">
        <v>80</v>
      </c>
      <c r="G280" s="12">
        <v>0.04</v>
      </c>
      <c r="H280" s="20">
        <v>920</v>
      </c>
      <c r="I280" s="20">
        <v>2000</v>
      </c>
    </row>
    <row r="281" spans="1:9" x14ac:dyDescent="0.3">
      <c r="C281" t="s">
        <v>236</v>
      </c>
      <c r="F281" s="20">
        <v>80</v>
      </c>
      <c r="G281" s="12">
        <v>0.04</v>
      </c>
      <c r="H281" s="20">
        <v>920</v>
      </c>
      <c r="I281" s="20">
        <v>2000</v>
      </c>
    </row>
    <row r="282" spans="1:9" x14ac:dyDescent="0.3">
      <c r="B282" t="s">
        <v>237</v>
      </c>
      <c r="F282" s="20">
        <v>80</v>
      </c>
      <c r="G282" s="12">
        <v>0.04</v>
      </c>
      <c r="H282" s="20">
        <v>920</v>
      </c>
      <c r="I282" s="20">
        <v>2000</v>
      </c>
    </row>
    <row r="283" spans="1:9" x14ac:dyDescent="0.3">
      <c r="A283" t="s">
        <v>301</v>
      </c>
      <c r="F283" s="20">
        <v>80</v>
      </c>
      <c r="G283" s="12">
        <v>0.04</v>
      </c>
      <c r="H283" s="20">
        <v>920</v>
      </c>
      <c r="I283" s="20">
        <v>2000</v>
      </c>
    </row>
    <row r="284" spans="1:9" x14ac:dyDescent="0.3">
      <c r="A284" t="s">
        <v>83</v>
      </c>
      <c r="B284" t="s">
        <v>24</v>
      </c>
      <c r="C284" t="s">
        <v>15</v>
      </c>
      <c r="D284" t="s">
        <v>11</v>
      </c>
      <c r="E284" t="s">
        <v>8</v>
      </c>
      <c r="F284" s="20">
        <v>81</v>
      </c>
      <c r="G284" s="12">
        <v>4.0500000000000001E-2</v>
      </c>
      <c r="H284" s="20">
        <v>190</v>
      </c>
      <c r="I284" s="20">
        <v>2000</v>
      </c>
    </row>
    <row r="285" spans="1:9" x14ac:dyDescent="0.3">
      <c r="D285" t="s">
        <v>290</v>
      </c>
      <c r="F285" s="20">
        <v>81</v>
      </c>
      <c r="G285" s="12">
        <v>4.0500000000000001E-2</v>
      </c>
      <c r="H285" s="20">
        <v>190</v>
      </c>
      <c r="I285" s="20">
        <v>2000</v>
      </c>
    </row>
    <row r="286" spans="1:9" x14ac:dyDescent="0.3">
      <c r="C286" t="s">
        <v>239</v>
      </c>
      <c r="F286" s="20">
        <v>81</v>
      </c>
      <c r="G286" s="12">
        <v>4.0500000000000001E-2</v>
      </c>
      <c r="H286" s="20">
        <v>190</v>
      </c>
      <c r="I286" s="20">
        <v>2000</v>
      </c>
    </row>
    <row r="287" spans="1:9" x14ac:dyDescent="0.3">
      <c r="B287" t="s">
        <v>234</v>
      </c>
      <c r="F287" s="20">
        <v>81</v>
      </c>
      <c r="G287" s="12">
        <v>4.0500000000000001E-2</v>
      </c>
      <c r="H287" s="20">
        <v>190</v>
      </c>
      <c r="I287" s="20">
        <v>2000</v>
      </c>
    </row>
    <row r="288" spans="1:9" x14ac:dyDescent="0.3">
      <c r="A288" t="s">
        <v>302</v>
      </c>
      <c r="F288" s="20">
        <v>81</v>
      </c>
      <c r="G288" s="12">
        <v>4.0500000000000001E-2</v>
      </c>
      <c r="H288" s="20">
        <v>190</v>
      </c>
      <c r="I288" s="20">
        <v>2000</v>
      </c>
    </row>
    <row r="289" spans="1:9" x14ac:dyDescent="0.3">
      <c r="A289" t="s">
        <v>84</v>
      </c>
      <c r="B289" t="s">
        <v>25</v>
      </c>
      <c r="C289" t="s">
        <v>16</v>
      </c>
      <c r="D289" t="s">
        <v>11</v>
      </c>
      <c r="E289" t="s">
        <v>8</v>
      </c>
      <c r="F289" s="20">
        <v>82</v>
      </c>
      <c r="G289" s="12">
        <v>4.1000000000000002E-2</v>
      </c>
      <c r="H289" s="20">
        <v>290</v>
      </c>
      <c r="I289" s="20">
        <v>2000</v>
      </c>
    </row>
    <row r="290" spans="1:9" x14ac:dyDescent="0.3">
      <c r="D290" t="s">
        <v>290</v>
      </c>
      <c r="F290" s="20">
        <v>82</v>
      </c>
      <c r="G290" s="12">
        <v>4.1000000000000002E-2</v>
      </c>
      <c r="H290" s="20">
        <v>290</v>
      </c>
      <c r="I290" s="20">
        <v>2000</v>
      </c>
    </row>
    <row r="291" spans="1:9" x14ac:dyDescent="0.3">
      <c r="C291" t="s">
        <v>241</v>
      </c>
      <c r="F291" s="20">
        <v>82</v>
      </c>
      <c r="G291" s="12">
        <v>4.1000000000000002E-2</v>
      </c>
      <c r="H291" s="20">
        <v>290</v>
      </c>
      <c r="I291" s="20">
        <v>2000</v>
      </c>
    </row>
    <row r="292" spans="1:9" x14ac:dyDescent="0.3">
      <c r="B292" t="s">
        <v>237</v>
      </c>
      <c r="F292" s="20">
        <v>82</v>
      </c>
      <c r="G292" s="12">
        <v>4.1000000000000002E-2</v>
      </c>
      <c r="H292" s="20">
        <v>290</v>
      </c>
      <c r="I292" s="20">
        <v>2000</v>
      </c>
    </row>
    <row r="293" spans="1:9" x14ac:dyDescent="0.3">
      <c r="A293" t="s">
        <v>303</v>
      </c>
      <c r="F293" s="20">
        <v>82</v>
      </c>
      <c r="G293" s="12">
        <v>4.1000000000000002E-2</v>
      </c>
      <c r="H293" s="20">
        <v>290</v>
      </c>
      <c r="I293" s="20">
        <v>2000</v>
      </c>
    </row>
    <row r="294" spans="1:9" x14ac:dyDescent="0.3">
      <c r="A294" t="s">
        <v>85</v>
      </c>
      <c r="B294" t="s">
        <v>24</v>
      </c>
      <c r="C294" t="s">
        <v>17</v>
      </c>
      <c r="D294" t="s">
        <v>11</v>
      </c>
      <c r="E294" t="s">
        <v>7</v>
      </c>
      <c r="F294" s="20">
        <v>83</v>
      </c>
      <c r="G294" s="12">
        <v>4.1500000000000002E-2</v>
      </c>
      <c r="H294" s="20">
        <v>610</v>
      </c>
      <c r="I294" s="20">
        <v>2000</v>
      </c>
    </row>
    <row r="295" spans="1:9" x14ac:dyDescent="0.3">
      <c r="D295" t="s">
        <v>290</v>
      </c>
      <c r="F295" s="20">
        <v>83</v>
      </c>
      <c r="G295" s="12">
        <v>4.1500000000000002E-2</v>
      </c>
      <c r="H295" s="20">
        <v>610</v>
      </c>
      <c r="I295" s="20">
        <v>2000</v>
      </c>
    </row>
    <row r="296" spans="1:9" x14ac:dyDescent="0.3">
      <c r="C296" t="s">
        <v>243</v>
      </c>
      <c r="F296" s="20">
        <v>83</v>
      </c>
      <c r="G296" s="12">
        <v>4.1500000000000002E-2</v>
      </c>
      <c r="H296" s="20">
        <v>610</v>
      </c>
      <c r="I296" s="20">
        <v>2000</v>
      </c>
    </row>
    <row r="297" spans="1:9" x14ac:dyDescent="0.3">
      <c r="B297" t="s">
        <v>234</v>
      </c>
      <c r="F297" s="20">
        <v>83</v>
      </c>
      <c r="G297" s="12">
        <v>4.1500000000000002E-2</v>
      </c>
      <c r="H297" s="20">
        <v>610</v>
      </c>
      <c r="I297" s="20">
        <v>2000</v>
      </c>
    </row>
    <row r="298" spans="1:9" x14ac:dyDescent="0.3">
      <c r="A298" t="s">
        <v>304</v>
      </c>
      <c r="F298" s="20">
        <v>83</v>
      </c>
      <c r="G298" s="12">
        <v>4.1500000000000002E-2</v>
      </c>
      <c r="H298" s="20">
        <v>610</v>
      </c>
      <c r="I298" s="20">
        <v>2000</v>
      </c>
    </row>
    <row r="299" spans="1:9" x14ac:dyDescent="0.3">
      <c r="A299" t="s">
        <v>86</v>
      </c>
      <c r="B299" t="s">
        <v>25</v>
      </c>
      <c r="C299" t="s">
        <v>20</v>
      </c>
      <c r="D299" t="s">
        <v>11</v>
      </c>
      <c r="E299" t="s">
        <v>8</v>
      </c>
      <c r="F299" s="20">
        <v>84</v>
      </c>
      <c r="G299" s="12">
        <v>4.2000000000000003E-2</v>
      </c>
      <c r="H299" s="20">
        <v>120</v>
      </c>
      <c r="I299" s="20">
        <v>2000</v>
      </c>
    </row>
    <row r="300" spans="1:9" x14ac:dyDescent="0.3">
      <c r="D300" t="s">
        <v>290</v>
      </c>
      <c r="F300" s="20">
        <v>84</v>
      </c>
      <c r="G300" s="12">
        <v>4.2000000000000003E-2</v>
      </c>
      <c r="H300" s="20">
        <v>120</v>
      </c>
      <c r="I300" s="20">
        <v>2000</v>
      </c>
    </row>
    <row r="301" spans="1:9" x14ac:dyDescent="0.3">
      <c r="C301" t="s">
        <v>245</v>
      </c>
      <c r="F301" s="20">
        <v>84</v>
      </c>
      <c r="G301" s="12">
        <v>4.2000000000000003E-2</v>
      </c>
      <c r="H301" s="20">
        <v>120</v>
      </c>
      <c r="I301" s="20">
        <v>2000</v>
      </c>
    </row>
    <row r="302" spans="1:9" x14ac:dyDescent="0.3">
      <c r="B302" t="s">
        <v>237</v>
      </c>
      <c r="F302" s="20">
        <v>84</v>
      </c>
      <c r="G302" s="12">
        <v>4.2000000000000003E-2</v>
      </c>
      <c r="H302" s="20">
        <v>120</v>
      </c>
      <c r="I302" s="20">
        <v>2000</v>
      </c>
    </row>
    <row r="303" spans="1:9" x14ac:dyDescent="0.3">
      <c r="A303" t="s">
        <v>305</v>
      </c>
      <c r="F303" s="20">
        <v>84</v>
      </c>
      <c r="G303" s="12">
        <v>4.2000000000000003E-2</v>
      </c>
      <c r="H303" s="20">
        <v>120</v>
      </c>
      <c r="I303" s="20">
        <v>2000</v>
      </c>
    </row>
    <row r="304" spans="1:9" x14ac:dyDescent="0.3">
      <c r="A304" t="s">
        <v>87</v>
      </c>
      <c r="B304" t="s">
        <v>24</v>
      </c>
      <c r="C304" t="s">
        <v>18</v>
      </c>
      <c r="D304" t="s">
        <v>11</v>
      </c>
      <c r="E304" t="s">
        <v>8</v>
      </c>
      <c r="F304" s="20">
        <v>85</v>
      </c>
      <c r="G304" s="12">
        <v>4.2500000000000003E-2</v>
      </c>
      <c r="H304" s="20">
        <v>480</v>
      </c>
      <c r="I304" s="20">
        <v>2000</v>
      </c>
    </row>
    <row r="305" spans="1:9" x14ac:dyDescent="0.3">
      <c r="D305" t="s">
        <v>290</v>
      </c>
      <c r="F305" s="20">
        <v>85</v>
      </c>
      <c r="G305" s="12">
        <v>4.2500000000000003E-2</v>
      </c>
      <c r="H305" s="20">
        <v>480</v>
      </c>
      <c r="I305" s="20">
        <v>2000</v>
      </c>
    </row>
    <row r="306" spans="1:9" x14ac:dyDescent="0.3">
      <c r="C306" t="s">
        <v>247</v>
      </c>
      <c r="F306" s="20">
        <v>85</v>
      </c>
      <c r="G306" s="12">
        <v>4.2500000000000003E-2</v>
      </c>
      <c r="H306" s="20">
        <v>480</v>
      </c>
      <c r="I306" s="20">
        <v>2000</v>
      </c>
    </row>
    <row r="307" spans="1:9" x14ac:dyDescent="0.3">
      <c r="B307" t="s">
        <v>234</v>
      </c>
      <c r="F307" s="20">
        <v>85</v>
      </c>
      <c r="G307" s="12">
        <v>4.2500000000000003E-2</v>
      </c>
      <c r="H307" s="20">
        <v>480</v>
      </c>
      <c r="I307" s="20">
        <v>2000</v>
      </c>
    </row>
    <row r="308" spans="1:9" x14ac:dyDescent="0.3">
      <c r="A308" t="s">
        <v>306</v>
      </c>
      <c r="F308" s="20">
        <v>85</v>
      </c>
      <c r="G308" s="12">
        <v>4.2500000000000003E-2</v>
      </c>
      <c r="H308" s="20">
        <v>480</v>
      </c>
      <c r="I308" s="20">
        <v>2000</v>
      </c>
    </row>
    <row r="309" spans="1:9" x14ac:dyDescent="0.3">
      <c r="A309" t="s">
        <v>88</v>
      </c>
      <c r="B309" t="s">
        <v>25</v>
      </c>
      <c r="C309" t="s">
        <v>19</v>
      </c>
      <c r="D309" t="s">
        <v>11</v>
      </c>
      <c r="E309" t="s">
        <v>8</v>
      </c>
      <c r="F309" s="20">
        <v>86</v>
      </c>
      <c r="G309" s="12">
        <v>4.2999999999999997E-2</v>
      </c>
      <c r="H309" s="20">
        <v>150</v>
      </c>
      <c r="I309" s="20">
        <v>2000</v>
      </c>
    </row>
    <row r="310" spans="1:9" x14ac:dyDescent="0.3">
      <c r="D310" t="s">
        <v>290</v>
      </c>
      <c r="F310" s="20">
        <v>86</v>
      </c>
      <c r="G310" s="12">
        <v>4.2999999999999997E-2</v>
      </c>
      <c r="H310" s="20">
        <v>150</v>
      </c>
      <c r="I310" s="20">
        <v>2000</v>
      </c>
    </row>
    <row r="311" spans="1:9" x14ac:dyDescent="0.3">
      <c r="C311" t="s">
        <v>249</v>
      </c>
      <c r="F311" s="20">
        <v>86</v>
      </c>
      <c r="G311" s="12">
        <v>4.2999999999999997E-2</v>
      </c>
      <c r="H311" s="20">
        <v>150</v>
      </c>
      <c r="I311" s="20">
        <v>2000</v>
      </c>
    </row>
    <row r="312" spans="1:9" x14ac:dyDescent="0.3">
      <c r="B312" t="s">
        <v>237</v>
      </c>
      <c r="F312" s="20">
        <v>86</v>
      </c>
      <c r="G312" s="12">
        <v>4.2999999999999997E-2</v>
      </c>
      <c r="H312" s="20">
        <v>150</v>
      </c>
      <c r="I312" s="20">
        <v>2000</v>
      </c>
    </row>
    <row r="313" spans="1:9" x14ac:dyDescent="0.3">
      <c r="A313" t="s">
        <v>307</v>
      </c>
      <c r="F313" s="20">
        <v>86</v>
      </c>
      <c r="G313" s="12">
        <v>4.2999999999999997E-2</v>
      </c>
      <c r="H313" s="20">
        <v>150</v>
      </c>
      <c r="I313" s="20">
        <v>2000</v>
      </c>
    </row>
    <row r="314" spans="1:9" x14ac:dyDescent="0.3">
      <c r="A314" t="s">
        <v>89</v>
      </c>
      <c r="B314" t="s">
        <v>24</v>
      </c>
      <c r="C314" t="s">
        <v>21</v>
      </c>
      <c r="D314" t="s">
        <v>11</v>
      </c>
      <c r="E314" t="s">
        <v>9</v>
      </c>
      <c r="F314" s="20">
        <v>87</v>
      </c>
      <c r="G314" s="12">
        <v>4.3499999999999997E-2</v>
      </c>
      <c r="H314" s="20">
        <v>720</v>
      </c>
      <c r="I314" s="20">
        <v>2000</v>
      </c>
    </row>
    <row r="315" spans="1:9" x14ac:dyDescent="0.3">
      <c r="D315" t="s">
        <v>290</v>
      </c>
      <c r="F315" s="20">
        <v>87</v>
      </c>
      <c r="G315" s="12">
        <v>4.3499999999999997E-2</v>
      </c>
      <c r="H315" s="20">
        <v>720</v>
      </c>
      <c r="I315" s="20">
        <v>2000</v>
      </c>
    </row>
    <row r="316" spans="1:9" x14ac:dyDescent="0.3">
      <c r="C316" t="s">
        <v>251</v>
      </c>
      <c r="F316" s="20">
        <v>87</v>
      </c>
      <c r="G316" s="12">
        <v>4.3499999999999997E-2</v>
      </c>
      <c r="H316" s="20">
        <v>720</v>
      </c>
      <c r="I316" s="20">
        <v>2000</v>
      </c>
    </row>
    <row r="317" spans="1:9" x14ac:dyDescent="0.3">
      <c r="B317" t="s">
        <v>234</v>
      </c>
      <c r="F317" s="20">
        <v>87</v>
      </c>
      <c r="G317" s="12">
        <v>4.3499999999999997E-2</v>
      </c>
      <c r="H317" s="20">
        <v>720</v>
      </c>
      <c r="I317" s="20">
        <v>2000</v>
      </c>
    </row>
    <row r="318" spans="1:9" x14ac:dyDescent="0.3">
      <c r="A318" t="s">
        <v>308</v>
      </c>
      <c r="F318" s="20">
        <v>87</v>
      </c>
      <c r="G318" s="12">
        <v>4.3499999999999997E-2</v>
      </c>
      <c r="H318" s="20">
        <v>720</v>
      </c>
      <c r="I318" s="20">
        <v>2000</v>
      </c>
    </row>
    <row r="319" spans="1:9" x14ac:dyDescent="0.3">
      <c r="A319" t="s">
        <v>90</v>
      </c>
      <c r="B319" t="s">
        <v>25</v>
      </c>
      <c r="C319" t="s">
        <v>13</v>
      </c>
      <c r="D319" t="s">
        <v>11</v>
      </c>
      <c r="E319" t="s">
        <v>8</v>
      </c>
      <c r="F319" s="20">
        <v>88</v>
      </c>
      <c r="G319" s="12">
        <v>4.3999999999999997E-2</v>
      </c>
      <c r="H319" s="20">
        <v>330</v>
      </c>
      <c r="I319" s="20">
        <v>2000</v>
      </c>
    </row>
    <row r="320" spans="1:9" x14ac:dyDescent="0.3">
      <c r="D320" t="s">
        <v>290</v>
      </c>
      <c r="F320" s="20">
        <v>88</v>
      </c>
      <c r="G320" s="12">
        <v>4.3999999999999997E-2</v>
      </c>
      <c r="H320" s="20">
        <v>330</v>
      </c>
      <c r="I320" s="20">
        <v>2000</v>
      </c>
    </row>
    <row r="321" spans="1:9" x14ac:dyDescent="0.3">
      <c r="C321" t="s">
        <v>233</v>
      </c>
      <c r="F321" s="20">
        <v>88</v>
      </c>
      <c r="G321" s="12">
        <v>4.3999999999999997E-2</v>
      </c>
      <c r="H321" s="20">
        <v>330</v>
      </c>
      <c r="I321" s="20">
        <v>2000</v>
      </c>
    </row>
    <row r="322" spans="1:9" x14ac:dyDescent="0.3">
      <c r="B322" t="s">
        <v>237</v>
      </c>
      <c r="F322" s="20">
        <v>88</v>
      </c>
      <c r="G322" s="12">
        <v>4.3999999999999997E-2</v>
      </c>
      <c r="H322" s="20">
        <v>330</v>
      </c>
      <c r="I322" s="20">
        <v>2000</v>
      </c>
    </row>
    <row r="323" spans="1:9" x14ac:dyDescent="0.3">
      <c r="A323" t="s">
        <v>309</v>
      </c>
      <c r="F323" s="20">
        <v>88</v>
      </c>
      <c r="G323" s="12">
        <v>4.3999999999999997E-2</v>
      </c>
      <c r="H323" s="20">
        <v>330</v>
      </c>
      <c r="I323" s="20">
        <v>2000</v>
      </c>
    </row>
    <row r="324" spans="1:9" x14ac:dyDescent="0.3">
      <c r="A324" t="s">
        <v>91</v>
      </c>
      <c r="B324" t="s">
        <v>24</v>
      </c>
      <c r="C324" t="s">
        <v>14</v>
      </c>
      <c r="D324" t="s">
        <v>11</v>
      </c>
      <c r="E324" t="s">
        <v>8</v>
      </c>
      <c r="F324" s="20">
        <v>89</v>
      </c>
      <c r="G324" s="12">
        <v>4.4499999999999998E-2</v>
      </c>
      <c r="H324" s="20">
        <v>90</v>
      </c>
      <c r="I324" s="20">
        <v>2000</v>
      </c>
    </row>
    <row r="325" spans="1:9" x14ac:dyDescent="0.3">
      <c r="D325" t="s">
        <v>290</v>
      </c>
      <c r="F325" s="20">
        <v>89</v>
      </c>
      <c r="G325" s="12">
        <v>4.4499999999999998E-2</v>
      </c>
      <c r="H325" s="20">
        <v>90</v>
      </c>
      <c r="I325" s="20">
        <v>2000</v>
      </c>
    </row>
    <row r="326" spans="1:9" x14ac:dyDescent="0.3">
      <c r="C326" t="s">
        <v>236</v>
      </c>
      <c r="F326" s="20">
        <v>89</v>
      </c>
      <c r="G326" s="12">
        <v>4.4499999999999998E-2</v>
      </c>
      <c r="H326" s="20">
        <v>90</v>
      </c>
      <c r="I326" s="20">
        <v>2000</v>
      </c>
    </row>
    <row r="327" spans="1:9" x14ac:dyDescent="0.3">
      <c r="B327" t="s">
        <v>234</v>
      </c>
      <c r="F327" s="20">
        <v>89</v>
      </c>
      <c r="G327" s="12">
        <v>4.4499999999999998E-2</v>
      </c>
      <c r="H327" s="20">
        <v>90</v>
      </c>
      <c r="I327" s="20">
        <v>2000</v>
      </c>
    </row>
    <row r="328" spans="1:9" x14ac:dyDescent="0.3">
      <c r="A328" t="s">
        <v>310</v>
      </c>
      <c r="F328" s="20">
        <v>89</v>
      </c>
      <c r="G328" s="12">
        <v>4.4499999999999998E-2</v>
      </c>
      <c r="H328" s="20">
        <v>90</v>
      </c>
      <c r="I328" s="20">
        <v>2000</v>
      </c>
    </row>
    <row r="329" spans="1:9" x14ac:dyDescent="0.3">
      <c r="A329" t="s">
        <v>92</v>
      </c>
      <c r="B329" t="s">
        <v>25</v>
      </c>
      <c r="C329" t="s">
        <v>15</v>
      </c>
      <c r="D329" t="s">
        <v>11</v>
      </c>
      <c r="E329" t="s">
        <v>7</v>
      </c>
      <c r="F329" s="20">
        <v>90</v>
      </c>
      <c r="G329" s="12">
        <v>4.4999999999999998E-2</v>
      </c>
      <c r="H329" s="20">
        <v>500</v>
      </c>
      <c r="I329" s="20">
        <v>2000</v>
      </c>
    </row>
    <row r="330" spans="1:9" x14ac:dyDescent="0.3">
      <c r="D330" t="s">
        <v>290</v>
      </c>
      <c r="F330" s="20">
        <v>90</v>
      </c>
      <c r="G330" s="12">
        <v>4.4999999999999998E-2</v>
      </c>
      <c r="H330" s="20">
        <v>500</v>
      </c>
      <c r="I330" s="20">
        <v>2000</v>
      </c>
    </row>
    <row r="331" spans="1:9" x14ac:dyDescent="0.3">
      <c r="C331" t="s">
        <v>239</v>
      </c>
      <c r="F331" s="20">
        <v>90</v>
      </c>
      <c r="G331" s="12">
        <v>4.4999999999999998E-2</v>
      </c>
      <c r="H331" s="20">
        <v>500</v>
      </c>
      <c r="I331" s="20">
        <v>2000</v>
      </c>
    </row>
    <row r="332" spans="1:9" x14ac:dyDescent="0.3">
      <c r="B332" t="s">
        <v>237</v>
      </c>
      <c r="F332" s="20">
        <v>90</v>
      </c>
      <c r="G332" s="12">
        <v>4.4999999999999998E-2</v>
      </c>
      <c r="H332" s="20">
        <v>500</v>
      </c>
      <c r="I332" s="20">
        <v>2000</v>
      </c>
    </row>
    <row r="333" spans="1:9" x14ac:dyDescent="0.3">
      <c r="A333" t="s">
        <v>311</v>
      </c>
      <c r="F333" s="20">
        <v>90</v>
      </c>
      <c r="G333" s="12">
        <v>4.4999999999999998E-2</v>
      </c>
      <c r="H333" s="20">
        <v>500</v>
      </c>
      <c r="I333" s="20">
        <v>2000</v>
      </c>
    </row>
    <row r="334" spans="1:9" x14ac:dyDescent="0.3">
      <c r="A334" t="s">
        <v>93</v>
      </c>
      <c r="B334" t="s">
        <v>24</v>
      </c>
      <c r="C334" t="s">
        <v>16</v>
      </c>
      <c r="D334" t="s">
        <v>11</v>
      </c>
      <c r="E334" t="s">
        <v>8</v>
      </c>
      <c r="F334" s="20">
        <v>91</v>
      </c>
      <c r="G334" s="12">
        <v>4.5499999999999999E-2</v>
      </c>
      <c r="H334" s="20">
        <v>110</v>
      </c>
      <c r="I334" s="20">
        <v>2000</v>
      </c>
    </row>
    <row r="335" spans="1:9" x14ac:dyDescent="0.3">
      <c r="D335" t="s">
        <v>290</v>
      </c>
      <c r="F335" s="20">
        <v>91</v>
      </c>
      <c r="G335" s="12">
        <v>4.5499999999999999E-2</v>
      </c>
      <c r="H335" s="20">
        <v>110</v>
      </c>
      <c r="I335" s="20">
        <v>2000</v>
      </c>
    </row>
    <row r="336" spans="1:9" x14ac:dyDescent="0.3">
      <c r="C336" t="s">
        <v>241</v>
      </c>
      <c r="F336" s="20">
        <v>91</v>
      </c>
      <c r="G336" s="12">
        <v>4.5499999999999999E-2</v>
      </c>
      <c r="H336" s="20">
        <v>110</v>
      </c>
      <c r="I336" s="20">
        <v>2000</v>
      </c>
    </row>
    <row r="337" spans="1:9" x14ac:dyDescent="0.3">
      <c r="B337" t="s">
        <v>234</v>
      </c>
      <c r="F337" s="20">
        <v>91</v>
      </c>
      <c r="G337" s="12">
        <v>4.5499999999999999E-2</v>
      </c>
      <c r="H337" s="20">
        <v>110</v>
      </c>
      <c r="I337" s="20">
        <v>2000</v>
      </c>
    </row>
    <row r="338" spans="1:9" x14ac:dyDescent="0.3">
      <c r="A338" t="s">
        <v>312</v>
      </c>
      <c r="F338" s="20">
        <v>91</v>
      </c>
      <c r="G338" s="12">
        <v>4.5499999999999999E-2</v>
      </c>
      <c r="H338" s="20">
        <v>110</v>
      </c>
      <c r="I338" s="20">
        <v>2000</v>
      </c>
    </row>
    <row r="339" spans="1:9" x14ac:dyDescent="0.3">
      <c r="A339" t="s">
        <v>94</v>
      </c>
      <c r="B339" t="s">
        <v>25</v>
      </c>
      <c r="C339" t="s">
        <v>17</v>
      </c>
      <c r="D339" t="s">
        <v>11</v>
      </c>
      <c r="E339" t="s">
        <v>9</v>
      </c>
      <c r="F339" s="20">
        <v>92</v>
      </c>
      <c r="G339" s="12">
        <v>4.5999999999999999E-2</v>
      </c>
      <c r="H339" s="20">
        <v>850</v>
      </c>
      <c r="I339" s="20">
        <v>2000</v>
      </c>
    </row>
    <row r="340" spans="1:9" x14ac:dyDescent="0.3">
      <c r="D340" t="s">
        <v>290</v>
      </c>
      <c r="F340" s="20">
        <v>92</v>
      </c>
      <c r="G340" s="12">
        <v>4.5999999999999999E-2</v>
      </c>
      <c r="H340" s="20">
        <v>850</v>
      </c>
      <c r="I340" s="20">
        <v>2000</v>
      </c>
    </row>
    <row r="341" spans="1:9" x14ac:dyDescent="0.3">
      <c r="C341" t="s">
        <v>243</v>
      </c>
      <c r="F341" s="20">
        <v>92</v>
      </c>
      <c r="G341" s="12">
        <v>4.5999999999999999E-2</v>
      </c>
      <c r="H341" s="20">
        <v>850</v>
      </c>
      <c r="I341" s="20">
        <v>2000</v>
      </c>
    </row>
    <row r="342" spans="1:9" x14ac:dyDescent="0.3">
      <c r="B342" t="s">
        <v>237</v>
      </c>
      <c r="F342" s="20">
        <v>92</v>
      </c>
      <c r="G342" s="12">
        <v>4.5999999999999999E-2</v>
      </c>
      <c r="H342" s="20">
        <v>850</v>
      </c>
      <c r="I342" s="20">
        <v>2000</v>
      </c>
    </row>
    <row r="343" spans="1:9" x14ac:dyDescent="0.3">
      <c r="A343" t="s">
        <v>313</v>
      </c>
      <c r="F343" s="20">
        <v>92</v>
      </c>
      <c r="G343" s="12">
        <v>4.5999999999999999E-2</v>
      </c>
      <c r="H343" s="20">
        <v>850</v>
      </c>
      <c r="I343" s="20">
        <v>2000</v>
      </c>
    </row>
    <row r="344" spans="1:9" x14ac:dyDescent="0.3">
      <c r="A344" t="s">
        <v>95</v>
      </c>
      <c r="B344" t="s">
        <v>24</v>
      </c>
      <c r="C344" t="s">
        <v>20</v>
      </c>
      <c r="D344" t="s">
        <v>11</v>
      </c>
      <c r="E344" t="s">
        <v>8</v>
      </c>
      <c r="F344" s="20">
        <v>93</v>
      </c>
      <c r="G344" s="12">
        <v>4.65E-2</v>
      </c>
      <c r="H344" s="20">
        <v>180</v>
      </c>
      <c r="I344" s="20">
        <v>2000</v>
      </c>
    </row>
    <row r="345" spans="1:9" x14ac:dyDescent="0.3">
      <c r="D345" t="s">
        <v>290</v>
      </c>
      <c r="F345" s="20">
        <v>93</v>
      </c>
      <c r="G345" s="12">
        <v>4.65E-2</v>
      </c>
      <c r="H345" s="20">
        <v>180</v>
      </c>
      <c r="I345" s="20">
        <v>2000</v>
      </c>
    </row>
    <row r="346" spans="1:9" x14ac:dyDescent="0.3">
      <c r="C346" t="s">
        <v>245</v>
      </c>
      <c r="F346" s="20">
        <v>93</v>
      </c>
      <c r="G346" s="12">
        <v>4.65E-2</v>
      </c>
      <c r="H346" s="20">
        <v>180</v>
      </c>
      <c r="I346" s="20">
        <v>2000</v>
      </c>
    </row>
    <row r="347" spans="1:9" x14ac:dyDescent="0.3">
      <c r="B347" t="s">
        <v>234</v>
      </c>
      <c r="F347" s="20">
        <v>93</v>
      </c>
      <c r="G347" s="12">
        <v>4.65E-2</v>
      </c>
      <c r="H347" s="20">
        <v>180</v>
      </c>
      <c r="I347" s="20">
        <v>2000</v>
      </c>
    </row>
    <row r="348" spans="1:9" x14ac:dyDescent="0.3">
      <c r="A348" t="s">
        <v>314</v>
      </c>
      <c r="F348" s="20">
        <v>93</v>
      </c>
      <c r="G348" s="12">
        <v>4.65E-2</v>
      </c>
      <c r="H348" s="20">
        <v>180</v>
      </c>
      <c r="I348" s="20">
        <v>2000</v>
      </c>
    </row>
    <row r="349" spans="1:9" x14ac:dyDescent="0.3">
      <c r="A349" t="s">
        <v>96</v>
      </c>
      <c r="B349" t="s">
        <v>25</v>
      </c>
      <c r="C349" t="s">
        <v>18</v>
      </c>
      <c r="D349" t="s">
        <v>11</v>
      </c>
      <c r="E349" t="s">
        <v>7</v>
      </c>
      <c r="F349" s="20">
        <v>94</v>
      </c>
      <c r="G349" s="12">
        <v>4.7E-2</v>
      </c>
      <c r="H349" s="20">
        <v>500</v>
      </c>
      <c r="I349" s="20">
        <v>2000</v>
      </c>
    </row>
    <row r="350" spans="1:9" x14ac:dyDescent="0.3">
      <c r="D350" t="s">
        <v>290</v>
      </c>
      <c r="F350" s="20">
        <v>94</v>
      </c>
      <c r="G350" s="12">
        <v>4.7E-2</v>
      </c>
      <c r="H350" s="20">
        <v>500</v>
      </c>
      <c r="I350" s="20">
        <v>2000</v>
      </c>
    </row>
    <row r="351" spans="1:9" x14ac:dyDescent="0.3">
      <c r="C351" t="s">
        <v>247</v>
      </c>
      <c r="F351" s="20">
        <v>94</v>
      </c>
      <c r="G351" s="12">
        <v>4.7E-2</v>
      </c>
      <c r="H351" s="20">
        <v>500</v>
      </c>
      <c r="I351" s="20">
        <v>2000</v>
      </c>
    </row>
    <row r="352" spans="1:9" x14ac:dyDescent="0.3">
      <c r="B352" t="s">
        <v>237</v>
      </c>
      <c r="F352" s="20">
        <v>94</v>
      </c>
      <c r="G352" s="12">
        <v>4.7E-2</v>
      </c>
      <c r="H352" s="20">
        <v>500</v>
      </c>
      <c r="I352" s="20">
        <v>2000</v>
      </c>
    </row>
    <row r="353" spans="1:9" x14ac:dyDescent="0.3">
      <c r="A353" t="s">
        <v>315</v>
      </c>
      <c r="F353" s="20">
        <v>94</v>
      </c>
      <c r="G353" s="12">
        <v>4.7E-2</v>
      </c>
      <c r="H353" s="20">
        <v>500</v>
      </c>
      <c r="I353" s="20">
        <v>2000</v>
      </c>
    </row>
    <row r="354" spans="1:9" x14ac:dyDescent="0.3">
      <c r="A354" t="s">
        <v>97</v>
      </c>
      <c r="B354" t="s">
        <v>24</v>
      </c>
      <c r="C354" t="s">
        <v>19</v>
      </c>
      <c r="D354" t="s">
        <v>11</v>
      </c>
      <c r="E354" t="s">
        <v>8</v>
      </c>
      <c r="F354" s="20">
        <v>95</v>
      </c>
      <c r="G354" s="12">
        <v>4.7500000000000001E-2</v>
      </c>
      <c r="H354" s="20">
        <v>480</v>
      </c>
      <c r="I354" s="20">
        <v>2000</v>
      </c>
    </row>
    <row r="355" spans="1:9" x14ac:dyDescent="0.3">
      <c r="D355" t="s">
        <v>290</v>
      </c>
      <c r="F355" s="20">
        <v>95</v>
      </c>
      <c r="G355" s="12">
        <v>4.7500000000000001E-2</v>
      </c>
      <c r="H355" s="20">
        <v>480</v>
      </c>
      <c r="I355" s="20">
        <v>2000</v>
      </c>
    </row>
    <row r="356" spans="1:9" x14ac:dyDescent="0.3">
      <c r="C356" t="s">
        <v>249</v>
      </c>
      <c r="F356" s="20">
        <v>95</v>
      </c>
      <c r="G356" s="12">
        <v>4.7500000000000001E-2</v>
      </c>
      <c r="H356" s="20">
        <v>480</v>
      </c>
      <c r="I356" s="20">
        <v>2000</v>
      </c>
    </row>
    <row r="357" spans="1:9" x14ac:dyDescent="0.3">
      <c r="B357" t="s">
        <v>234</v>
      </c>
      <c r="F357" s="20">
        <v>95</v>
      </c>
      <c r="G357" s="12">
        <v>4.7500000000000001E-2</v>
      </c>
      <c r="H357" s="20">
        <v>480</v>
      </c>
      <c r="I357" s="20">
        <v>2000</v>
      </c>
    </row>
    <row r="358" spans="1:9" x14ac:dyDescent="0.3">
      <c r="A358" t="s">
        <v>316</v>
      </c>
      <c r="F358" s="20">
        <v>95</v>
      </c>
      <c r="G358" s="12">
        <v>4.7500000000000001E-2</v>
      </c>
      <c r="H358" s="20">
        <v>480</v>
      </c>
      <c r="I358" s="20">
        <v>2000</v>
      </c>
    </row>
    <row r="359" spans="1:9" x14ac:dyDescent="0.3">
      <c r="A359" t="s">
        <v>98</v>
      </c>
      <c r="B359" t="s">
        <v>25</v>
      </c>
      <c r="C359" t="s">
        <v>21</v>
      </c>
      <c r="D359" t="s">
        <v>11</v>
      </c>
      <c r="E359" t="s">
        <v>8</v>
      </c>
      <c r="F359" s="20">
        <v>96</v>
      </c>
      <c r="G359" s="12">
        <v>4.8000000000000001E-2</v>
      </c>
      <c r="H359" s="20">
        <v>150</v>
      </c>
      <c r="I359" s="20">
        <v>2000</v>
      </c>
    </row>
    <row r="360" spans="1:9" x14ac:dyDescent="0.3">
      <c r="D360" t="s">
        <v>290</v>
      </c>
      <c r="F360" s="20">
        <v>96</v>
      </c>
      <c r="G360" s="12">
        <v>4.8000000000000001E-2</v>
      </c>
      <c r="H360" s="20">
        <v>150</v>
      </c>
      <c r="I360" s="20">
        <v>2000</v>
      </c>
    </row>
    <row r="361" spans="1:9" x14ac:dyDescent="0.3">
      <c r="C361" t="s">
        <v>251</v>
      </c>
      <c r="F361" s="20">
        <v>96</v>
      </c>
      <c r="G361" s="12">
        <v>4.8000000000000001E-2</v>
      </c>
      <c r="H361" s="20">
        <v>150</v>
      </c>
      <c r="I361" s="20">
        <v>2000</v>
      </c>
    </row>
    <row r="362" spans="1:9" x14ac:dyDescent="0.3">
      <c r="B362" t="s">
        <v>237</v>
      </c>
      <c r="F362" s="20">
        <v>96</v>
      </c>
      <c r="G362" s="12">
        <v>4.8000000000000001E-2</v>
      </c>
      <c r="H362" s="20">
        <v>150</v>
      </c>
      <c r="I362" s="20">
        <v>2000</v>
      </c>
    </row>
    <row r="363" spans="1:9" x14ac:dyDescent="0.3">
      <c r="A363" t="s">
        <v>317</v>
      </c>
      <c r="F363" s="20">
        <v>96</v>
      </c>
      <c r="G363" s="12">
        <v>4.8000000000000001E-2</v>
      </c>
      <c r="H363" s="20">
        <v>150</v>
      </c>
      <c r="I363" s="20">
        <v>2000</v>
      </c>
    </row>
    <row r="364" spans="1:9" x14ac:dyDescent="0.3">
      <c r="A364" t="s">
        <v>99</v>
      </c>
      <c r="B364" t="s">
        <v>24</v>
      </c>
      <c r="C364" t="s">
        <v>13</v>
      </c>
      <c r="D364" t="s">
        <v>11</v>
      </c>
      <c r="E364" t="s">
        <v>9</v>
      </c>
      <c r="F364" s="20">
        <v>97</v>
      </c>
      <c r="G364" s="12">
        <v>4.8500000000000001E-2</v>
      </c>
      <c r="H364" s="20">
        <v>720</v>
      </c>
      <c r="I364" s="20">
        <v>2000</v>
      </c>
    </row>
    <row r="365" spans="1:9" x14ac:dyDescent="0.3">
      <c r="D365" t="s">
        <v>290</v>
      </c>
      <c r="F365" s="20">
        <v>97</v>
      </c>
      <c r="G365" s="12">
        <v>4.8500000000000001E-2</v>
      </c>
      <c r="H365" s="20">
        <v>720</v>
      </c>
      <c r="I365" s="20">
        <v>2000</v>
      </c>
    </row>
    <row r="366" spans="1:9" x14ac:dyDescent="0.3">
      <c r="C366" t="s">
        <v>233</v>
      </c>
      <c r="F366" s="20">
        <v>97</v>
      </c>
      <c r="G366" s="12">
        <v>4.8500000000000001E-2</v>
      </c>
      <c r="H366" s="20">
        <v>720</v>
      </c>
      <c r="I366" s="20">
        <v>2000</v>
      </c>
    </row>
    <row r="367" spans="1:9" x14ac:dyDescent="0.3">
      <c r="B367" t="s">
        <v>234</v>
      </c>
      <c r="F367" s="20">
        <v>97</v>
      </c>
      <c r="G367" s="12">
        <v>4.8500000000000001E-2</v>
      </c>
      <c r="H367" s="20">
        <v>720</v>
      </c>
      <c r="I367" s="20">
        <v>2000</v>
      </c>
    </row>
    <row r="368" spans="1:9" x14ac:dyDescent="0.3">
      <c r="A368" t="s">
        <v>318</v>
      </c>
      <c r="F368" s="20">
        <v>97</v>
      </c>
      <c r="G368" s="12">
        <v>4.8500000000000001E-2</v>
      </c>
      <c r="H368" s="20">
        <v>720</v>
      </c>
      <c r="I368" s="20">
        <v>2000</v>
      </c>
    </row>
    <row r="369" spans="1:9" x14ac:dyDescent="0.3">
      <c r="A369" t="s">
        <v>100</v>
      </c>
      <c r="B369" t="s">
        <v>25</v>
      </c>
      <c r="C369" t="s">
        <v>14</v>
      </c>
      <c r="D369" t="s">
        <v>11</v>
      </c>
      <c r="E369" t="s">
        <v>8</v>
      </c>
      <c r="F369" s="20">
        <v>98</v>
      </c>
      <c r="G369" s="12">
        <v>4.9000000000000002E-2</v>
      </c>
      <c r="H369" s="20">
        <v>330</v>
      </c>
      <c r="I369" s="20">
        <v>2000</v>
      </c>
    </row>
    <row r="370" spans="1:9" x14ac:dyDescent="0.3">
      <c r="D370" t="s">
        <v>290</v>
      </c>
      <c r="F370" s="20">
        <v>98</v>
      </c>
      <c r="G370" s="12">
        <v>4.9000000000000002E-2</v>
      </c>
      <c r="H370" s="20">
        <v>330</v>
      </c>
      <c r="I370" s="20">
        <v>2000</v>
      </c>
    </row>
    <row r="371" spans="1:9" x14ac:dyDescent="0.3">
      <c r="C371" t="s">
        <v>236</v>
      </c>
      <c r="F371" s="20">
        <v>98</v>
      </c>
      <c r="G371" s="12">
        <v>4.9000000000000002E-2</v>
      </c>
      <c r="H371" s="20">
        <v>330</v>
      </c>
      <c r="I371" s="20">
        <v>2000</v>
      </c>
    </row>
    <row r="372" spans="1:9" x14ac:dyDescent="0.3">
      <c r="B372" t="s">
        <v>237</v>
      </c>
      <c r="F372" s="20">
        <v>98</v>
      </c>
      <c r="G372" s="12">
        <v>4.9000000000000002E-2</v>
      </c>
      <c r="H372" s="20">
        <v>330</v>
      </c>
      <c r="I372" s="20">
        <v>2000</v>
      </c>
    </row>
    <row r="373" spans="1:9" x14ac:dyDescent="0.3">
      <c r="A373" t="s">
        <v>319</v>
      </c>
      <c r="F373" s="20">
        <v>98</v>
      </c>
      <c r="G373" s="12">
        <v>4.9000000000000002E-2</v>
      </c>
      <c r="H373" s="20">
        <v>330</v>
      </c>
      <c r="I373" s="20">
        <v>2000</v>
      </c>
    </row>
    <row r="374" spans="1:9" x14ac:dyDescent="0.3">
      <c r="A374" t="s">
        <v>101</v>
      </c>
      <c r="B374" t="s">
        <v>24</v>
      </c>
      <c r="C374" t="s">
        <v>15</v>
      </c>
      <c r="D374" t="s">
        <v>11</v>
      </c>
      <c r="E374" t="s">
        <v>8</v>
      </c>
      <c r="F374" s="20">
        <v>99</v>
      </c>
      <c r="G374" s="12">
        <v>4.9500000000000002E-2</v>
      </c>
      <c r="H374" s="20">
        <v>90</v>
      </c>
      <c r="I374" s="20">
        <v>2000</v>
      </c>
    </row>
    <row r="375" spans="1:9" x14ac:dyDescent="0.3">
      <c r="D375" t="s">
        <v>290</v>
      </c>
      <c r="F375" s="20">
        <v>99</v>
      </c>
      <c r="G375" s="12">
        <v>4.9500000000000002E-2</v>
      </c>
      <c r="H375" s="20">
        <v>90</v>
      </c>
      <c r="I375" s="20">
        <v>2000</v>
      </c>
    </row>
    <row r="376" spans="1:9" x14ac:dyDescent="0.3">
      <c r="C376" t="s">
        <v>239</v>
      </c>
      <c r="F376" s="20">
        <v>99</v>
      </c>
      <c r="G376" s="12">
        <v>4.9500000000000002E-2</v>
      </c>
      <c r="H376" s="20">
        <v>90</v>
      </c>
      <c r="I376" s="20">
        <v>2000</v>
      </c>
    </row>
    <row r="377" spans="1:9" x14ac:dyDescent="0.3">
      <c r="B377" t="s">
        <v>234</v>
      </c>
      <c r="F377" s="20">
        <v>99</v>
      </c>
      <c r="G377" s="12">
        <v>4.9500000000000002E-2</v>
      </c>
      <c r="H377" s="20">
        <v>90</v>
      </c>
      <c r="I377" s="20">
        <v>2000</v>
      </c>
    </row>
    <row r="378" spans="1:9" x14ac:dyDescent="0.3">
      <c r="A378" t="s">
        <v>320</v>
      </c>
      <c r="F378" s="20">
        <v>99</v>
      </c>
      <c r="G378" s="12">
        <v>4.9500000000000002E-2</v>
      </c>
      <c r="H378" s="20">
        <v>90</v>
      </c>
      <c r="I378" s="20">
        <v>2000</v>
      </c>
    </row>
    <row r="379" spans="1:9" x14ac:dyDescent="0.3">
      <c r="A379" t="s">
        <v>102</v>
      </c>
      <c r="B379" t="s">
        <v>25</v>
      </c>
      <c r="C379" t="s">
        <v>16</v>
      </c>
      <c r="D379" t="s">
        <v>11</v>
      </c>
      <c r="E379" t="s">
        <v>7</v>
      </c>
      <c r="F379" s="20">
        <v>100</v>
      </c>
      <c r="G379" s="12">
        <v>0.05</v>
      </c>
      <c r="H379" s="20">
        <v>500</v>
      </c>
      <c r="I379" s="20">
        <v>2000</v>
      </c>
    </row>
    <row r="380" spans="1:9" x14ac:dyDescent="0.3">
      <c r="D380" t="s">
        <v>290</v>
      </c>
      <c r="F380" s="20">
        <v>100</v>
      </c>
      <c r="G380" s="12">
        <v>0.05</v>
      </c>
      <c r="H380" s="20">
        <v>500</v>
      </c>
      <c r="I380" s="20">
        <v>2000</v>
      </c>
    </row>
    <row r="381" spans="1:9" x14ac:dyDescent="0.3">
      <c r="C381" t="s">
        <v>241</v>
      </c>
      <c r="F381" s="20">
        <v>100</v>
      </c>
      <c r="G381" s="12">
        <v>0.05</v>
      </c>
      <c r="H381" s="20">
        <v>500</v>
      </c>
      <c r="I381" s="20">
        <v>2000</v>
      </c>
    </row>
    <row r="382" spans="1:9" x14ac:dyDescent="0.3">
      <c r="B382" t="s">
        <v>237</v>
      </c>
      <c r="F382" s="20">
        <v>100</v>
      </c>
      <c r="G382" s="12">
        <v>0.05</v>
      </c>
      <c r="H382" s="20">
        <v>500</v>
      </c>
      <c r="I382" s="20">
        <v>2000</v>
      </c>
    </row>
    <row r="383" spans="1:9" x14ac:dyDescent="0.3">
      <c r="A383" t="s">
        <v>321</v>
      </c>
      <c r="F383" s="20">
        <v>100</v>
      </c>
      <c r="G383" s="12">
        <v>0.05</v>
      </c>
      <c r="H383" s="20">
        <v>500</v>
      </c>
      <c r="I383" s="20">
        <v>2000</v>
      </c>
    </row>
    <row r="384" spans="1:9" x14ac:dyDescent="0.3">
      <c r="A384" t="s">
        <v>103</v>
      </c>
      <c r="B384" t="s">
        <v>24</v>
      </c>
      <c r="C384" t="s">
        <v>17</v>
      </c>
      <c r="D384" t="s">
        <v>11</v>
      </c>
      <c r="E384" t="s">
        <v>8</v>
      </c>
      <c r="F384" s="20">
        <v>101</v>
      </c>
      <c r="G384" s="12">
        <v>5.0500000000000003E-2</v>
      </c>
      <c r="H384" s="20">
        <v>110</v>
      </c>
      <c r="I384" s="20">
        <v>2000</v>
      </c>
    </row>
    <row r="385" spans="1:9" x14ac:dyDescent="0.3">
      <c r="D385" t="s">
        <v>290</v>
      </c>
      <c r="F385" s="20">
        <v>101</v>
      </c>
      <c r="G385" s="12">
        <v>5.0500000000000003E-2</v>
      </c>
      <c r="H385" s="20">
        <v>110</v>
      </c>
      <c r="I385" s="20">
        <v>2000</v>
      </c>
    </row>
    <row r="386" spans="1:9" x14ac:dyDescent="0.3">
      <c r="C386" t="s">
        <v>243</v>
      </c>
      <c r="F386" s="20">
        <v>101</v>
      </c>
      <c r="G386" s="12">
        <v>5.0500000000000003E-2</v>
      </c>
      <c r="H386" s="20">
        <v>110</v>
      </c>
      <c r="I386" s="20">
        <v>2000</v>
      </c>
    </row>
    <row r="387" spans="1:9" x14ac:dyDescent="0.3">
      <c r="B387" t="s">
        <v>234</v>
      </c>
      <c r="F387" s="20">
        <v>101</v>
      </c>
      <c r="G387" s="12">
        <v>5.0500000000000003E-2</v>
      </c>
      <c r="H387" s="20">
        <v>110</v>
      </c>
      <c r="I387" s="20">
        <v>2000</v>
      </c>
    </row>
    <row r="388" spans="1:9" x14ac:dyDescent="0.3">
      <c r="A388" t="s">
        <v>322</v>
      </c>
      <c r="F388" s="20">
        <v>101</v>
      </c>
      <c r="G388" s="12">
        <v>5.0500000000000003E-2</v>
      </c>
      <c r="H388" s="20">
        <v>110</v>
      </c>
      <c r="I388" s="20">
        <v>2000</v>
      </c>
    </row>
    <row r="389" spans="1:9" x14ac:dyDescent="0.3">
      <c r="A389" t="s">
        <v>104</v>
      </c>
      <c r="B389" t="s">
        <v>25</v>
      </c>
      <c r="C389" t="s">
        <v>20</v>
      </c>
      <c r="D389" t="s">
        <v>11</v>
      </c>
      <c r="E389" t="s">
        <v>9</v>
      </c>
      <c r="F389" s="20">
        <v>102</v>
      </c>
      <c r="G389" s="12">
        <v>5.0999999999999997E-2</v>
      </c>
      <c r="H389" s="20">
        <v>850</v>
      </c>
      <c r="I389" s="20">
        <v>2000</v>
      </c>
    </row>
    <row r="390" spans="1:9" x14ac:dyDescent="0.3">
      <c r="D390" t="s">
        <v>290</v>
      </c>
      <c r="F390" s="20">
        <v>102</v>
      </c>
      <c r="G390" s="12">
        <v>5.0999999999999997E-2</v>
      </c>
      <c r="H390" s="20">
        <v>850</v>
      </c>
      <c r="I390" s="20">
        <v>2000</v>
      </c>
    </row>
    <row r="391" spans="1:9" x14ac:dyDescent="0.3">
      <c r="C391" t="s">
        <v>245</v>
      </c>
      <c r="F391" s="20">
        <v>102</v>
      </c>
      <c r="G391" s="12">
        <v>5.0999999999999997E-2</v>
      </c>
      <c r="H391" s="20">
        <v>850</v>
      </c>
      <c r="I391" s="20">
        <v>2000</v>
      </c>
    </row>
    <row r="392" spans="1:9" x14ac:dyDescent="0.3">
      <c r="B392" t="s">
        <v>237</v>
      </c>
      <c r="F392" s="20">
        <v>102</v>
      </c>
      <c r="G392" s="12">
        <v>5.0999999999999997E-2</v>
      </c>
      <c r="H392" s="20">
        <v>850</v>
      </c>
      <c r="I392" s="20">
        <v>2000</v>
      </c>
    </row>
    <row r="393" spans="1:9" x14ac:dyDescent="0.3">
      <c r="A393" t="s">
        <v>323</v>
      </c>
      <c r="F393" s="20">
        <v>102</v>
      </c>
      <c r="G393" s="12">
        <v>5.0999999999999997E-2</v>
      </c>
      <c r="H393" s="20">
        <v>850</v>
      </c>
      <c r="I393" s="20">
        <v>2000</v>
      </c>
    </row>
    <row r="394" spans="1:9" x14ac:dyDescent="0.3">
      <c r="A394" t="s">
        <v>105</v>
      </c>
      <c r="B394" t="s">
        <v>24</v>
      </c>
      <c r="C394" t="s">
        <v>18</v>
      </c>
      <c r="D394" t="s">
        <v>10</v>
      </c>
      <c r="E394" t="s">
        <v>8</v>
      </c>
      <c r="F394" s="20">
        <v>53</v>
      </c>
      <c r="G394" s="12">
        <v>2.6499999999999999E-2</v>
      </c>
      <c r="H394" s="20">
        <v>180</v>
      </c>
      <c r="I394" s="20">
        <v>2000</v>
      </c>
    </row>
    <row r="395" spans="1:9" x14ac:dyDescent="0.3">
      <c r="D395" t="s">
        <v>269</v>
      </c>
      <c r="F395" s="20">
        <v>53</v>
      </c>
      <c r="G395" s="12">
        <v>2.6499999999999999E-2</v>
      </c>
      <c r="H395" s="20">
        <v>180</v>
      </c>
      <c r="I395" s="20">
        <v>2000</v>
      </c>
    </row>
    <row r="396" spans="1:9" x14ac:dyDescent="0.3">
      <c r="C396" t="s">
        <v>247</v>
      </c>
      <c r="F396" s="20">
        <v>53</v>
      </c>
      <c r="G396" s="12">
        <v>2.6499999999999999E-2</v>
      </c>
      <c r="H396" s="20">
        <v>180</v>
      </c>
      <c r="I396" s="20">
        <v>2000</v>
      </c>
    </row>
    <row r="397" spans="1:9" x14ac:dyDescent="0.3">
      <c r="B397" t="s">
        <v>234</v>
      </c>
      <c r="F397" s="20">
        <v>53</v>
      </c>
      <c r="G397" s="12">
        <v>2.6499999999999999E-2</v>
      </c>
      <c r="H397" s="20">
        <v>180</v>
      </c>
      <c r="I397" s="20">
        <v>2000</v>
      </c>
    </row>
    <row r="398" spans="1:9" x14ac:dyDescent="0.3">
      <c r="A398" t="s">
        <v>324</v>
      </c>
      <c r="F398" s="20">
        <v>53</v>
      </c>
      <c r="G398" s="12">
        <v>2.6499999999999999E-2</v>
      </c>
      <c r="H398" s="20">
        <v>180</v>
      </c>
      <c r="I398" s="20">
        <v>2000</v>
      </c>
    </row>
    <row r="399" spans="1:9" x14ac:dyDescent="0.3">
      <c r="A399" t="s">
        <v>106</v>
      </c>
      <c r="B399" t="s">
        <v>25</v>
      </c>
      <c r="C399" t="s">
        <v>19</v>
      </c>
      <c r="D399" t="s">
        <v>10</v>
      </c>
      <c r="E399" t="s">
        <v>8</v>
      </c>
      <c r="F399" s="20">
        <v>54</v>
      </c>
      <c r="G399" s="12">
        <v>2.7E-2</v>
      </c>
      <c r="H399" s="20">
        <v>420</v>
      </c>
      <c r="I399" s="20">
        <v>2000</v>
      </c>
    </row>
    <row r="400" spans="1:9" x14ac:dyDescent="0.3">
      <c r="D400" t="s">
        <v>269</v>
      </c>
      <c r="F400" s="20">
        <v>54</v>
      </c>
      <c r="G400" s="12">
        <v>2.7E-2</v>
      </c>
      <c r="H400" s="20">
        <v>420</v>
      </c>
      <c r="I400" s="20">
        <v>2000</v>
      </c>
    </row>
    <row r="401" spans="1:9" x14ac:dyDescent="0.3">
      <c r="C401" t="s">
        <v>249</v>
      </c>
      <c r="F401" s="20">
        <v>54</v>
      </c>
      <c r="G401" s="12">
        <v>2.7E-2</v>
      </c>
      <c r="H401" s="20">
        <v>420</v>
      </c>
      <c r="I401" s="20">
        <v>2000</v>
      </c>
    </row>
    <row r="402" spans="1:9" x14ac:dyDescent="0.3">
      <c r="B402" t="s">
        <v>237</v>
      </c>
      <c r="F402" s="20">
        <v>54</v>
      </c>
      <c r="G402" s="12">
        <v>2.7E-2</v>
      </c>
      <c r="H402" s="20">
        <v>420</v>
      </c>
      <c r="I402" s="20">
        <v>2000</v>
      </c>
    </row>
    <row r="403" spans="1:9" x14ac:dyDescent="0.3">
      <c r="A403" t="s">
        <v>325</v>
      </c>
      <c r="F403" s="20">
        <v>54</v>
      </c>
      <c r="G403" s="12">
        <v>2.7E-2</v>
      </c>
      <c r="H403" s="20">
        <v>420</v>
      </c>
      <c r="I403" s="20">
        <v>2000</v>
      </c>
    </row>
    <row r="404" spans="1:9" x14ac:dyDescent="0.3">
      <c r="A404" t="s">
        <v>107</v>
      </c>
      <c r="B404" t="s">
        <v>24</v>
      </c>
      <c r="C404" t="s">
        <v>21</v>
      </c>
      <c r="D404" t="s">
        <v>10</v>
      </c>
      <c r="E404" t="s">
        <v>8</v>
      </c>
      <c r="F404" s="20">
        <v>55</v>
      </c>
      <c r="G404" s="12">
        <v>2.75E-2</v>
      </c>
      <c r="H404" s="20">
        <v>260</v>
      </c>
      <c r="I404" s="20">
        <v>2000</v>
      </c>
    </row>
    <row r="405" spans="1:9" x14ac:dyDescent="0.3">
      <c r="D405" t="s">
        <v>269</v>
      </c>
      <c r="F405" s="20">
        <v>55</v>
      </c>
      <c r="G405" s="12">
        <v>2.75E-2</v>
      </c>
      <c r="H405" s="20">
        <v>260</v>
      </c>
      <c r="I405" s="20">
        <v>2000</v>
      </c>
    </row>
    <row r="406" spans="1:9" x14ac:dyDescent="0.3">
      <c r="C406" t="s">
        <v>251</v>
      </c>
      <c r="F406" s="20">
        <v>55</v>
      </c>
      <c r="G406" s="12">
        <v>2.75E-2</v>
      </c>
      <c r="H406" s="20">
        <v>260</v>
      </c>
      <c r="I406" s="20">
        <v>2000</v>
      </c>
    </row>
    <row r="407" spans="1:9" x14ac:dyDescent="0.3">
      <c r="B407" t="s">
        <v>234</v>
      </c>
      <c r="F407" s="20">
        <v>55</v>
      </c>
      <c r="G407" s="12">
        <v>2.75E-2</v>
      </c>
      <c r="H407" s="20">
        <v>260</v>
      </c>
      <c r="I407" s="20">
        <v>2000</v>
      </c>
    </row>
    <row r="408" spans="1:9" x14ac:dyDescent="0.3">
      <c r="A408" t="s">
        <v>326</v>
      </c>
      <c r="F408" s="20">
        <v>55</v>
      </c>
      <c r="G408" s="12">
        <v>2.75E-2</v>
      </c>
      <c r="H408" s="20">
        <v>260</v>
      </c>
      <c r="I408" s="20">
        <v>2000</v>
      </c>
    </row>
    <row r="409" spans="1:9" x14ac:dyDescent="0.3">
      <c r="A409" t="s">
        <v>108</v>
      </c>
      <c r="B409" t="s">
        <v>25</v>
      </c>
      <c r="C409" t="s">
        <v>13</v>
      </c>
      <c r="D409" t="s">
        <v>10</v>
      </c>
      <c r="E409" t="s">
        <v>8</v>
      </c>
      <c r="F409" s="20">
        <v>56</v>
      </c>
      <c r="G409" s="12">
        <v>2.8000000000000001E-2</v>
      </c>
      <c r="H409" s="20">
        <v>140</v>
      </c>
      <c r="I409" s="20">
        <v>2000</v>
      </c>
    </row>
    <row r="410" spans="1:9" x14ac:dyDescent="0.3">
      <c r="D410" t="s">
        <v>269</v>
      </c>
      <c r="F410" s="20">
        <v>56</v>
      </c>
      <c r="G410" s="12">
        <v>2.8000000000000001E-2</v>
      </c>
      <c r="H410" s="20">
        <v>140</v>
      </c>
      <c r="I410" s="20">
        <v>2000</v>
      </c>
    </row>
    <row r="411" spans="1:9" x14ac:dyDescent="0.3">
      <c r="C411" t="s">
        <v>233</v>
      </c>
      <c r="F411" s="20">
        <v>56</v>
      </c>
      <c r="G411" s="12">
        <v>2.8000000000000001E-2</v>
      </c>
      <c r="H411" s="20">
        <v>140</v>
      </c>
      <c r="I411" s="20">
        <v>2000</v>
      </c>
    </row>
    <row r="412" spans="1:9" x14ac:dyDescent="0.3">
      <c r="B412" t="s">
        <v>237</v>
      </c>
      <c r="F412" s="20">
        <v>56</v>
      </c>
      <c r="G412" s="12">
        <v>2.8000000000000001E-2</v>
      </c>
      <c r="H412" s="20">
        <v>140</v>
      </c>
      <c r="I412" s="20">
        <v>2000</v>
      </c>
    </row>
    <row r="413" spans="1:9" x14ac:dyDescent="0.3">
      <c r="A413" t="s">
        <v>327</v>
      </c>
      <c r="F413" s="20">
        <v>56</v>
      </c>
      <c r="G413" s="12">
        <v>2.8000000000000001E-2</v>
      </c>
      <c r="H413" s="20">
        <v>140</v>
      </c>
      <c r="I413" s="20">
        <v>2000</v>
      </c>
    </row>
    <row r="414" spans="1:9" x14ac:dyDescent="0.3">
      <c r="A414" t="s">
        <v>109</v>
      </c>
      <c r="B414" t="s">
        <v>24</v>
      </c>
      <c r="C414" t="s">
        <v>14</v>
      </c>
      <c r="D414" t="s">
        <v>10</v>
      </c>
      <c r="E414" t="s">
        <v>9</v>
      </c>
      <c r="F414" s="20">
        <v>57</v>
      </c>
      <c r="G414" s="12">
        <v>2.8500000000000001E-2</v>
      </c>
      <c r="H414" s="20">
        <v>980</v>
      </c>
      <c r="I414" s="20">
        <v>2000</v>
      </c>
    </row>
    <row r="415" spans="1:9" x14ac:dyDescent="0.3">
      <c r="D415" t="s">
        <v>269</v>
      </c>
      <c r="F415" s="20">
        <v>57</v>
      </c>
      <c r="G415" s="12">
        <v>2.8500000000000001E-2</v>
      </c>
      <c r="H415" s="20">
        <v>980</v>
      </c>
      <c r="I415" s="20">
        <v>2000</v>
      </c>
    </row>
    <row r="416" spans="1:9" x14ac:dyDescent="0.3">
      <c r="C416" t="s">
        <v>236</v>
      </c>
      <c r="F416" s="20">
        <v>57</v>
      </c>
      <c r="G416" s="12">
        <v>2.8500000000000001E-2</v>
      </c>
      <c r="H416" s="20">
        <v>980</v>
      </c>
      <c r="I416" s="20">
        <v>2000</v>
      </c>
    </row>
    <row r="417" spans="1:9" x14ac:dyDescent="0.3">
      <c r="B417" t="s">
        <v>234</v>
      </c>
      <c r="F417" s="20">
        <v>57</v>
      </c>
      <c r="G417" s="12">
        <v>2.8500000000000001E-2</v>
      </c>
      <c r="H417" s="20">
        <v>980</v>
      </c>
      <c r="I417" s="20">
        <v>2000</v>
      </c>
    </row>
    <row r="418" spans="1:9" x14ac:dyDescent="0.3">
      <c r="A418" t="s">
        <v>328</v>
      </c>
      <c r="F418" s="20">
        <v>57</v>
      </c>
      <c r="G418" s="12">
        <v>2.8500000000000001E-2</v>
      </c>
      <c r="H418" s="20">
        <v>980</v>
      </c>
      <c r="I418" s="20">
        <v>2000</v>
      </c>
    </row>
    <row r="419" spans="1:9" x14ac:dyDescent="0.3">
      <c r="A419" t="s">
        <v>110</v>
      </c>
      <c r="B419" t="s">
        <v>25</v>
      </c>
      <c r="C419" t="s">
        <v>15</v>
      </c>
      <c r="D419" t="s">
        <v>10</v>
      </c>
      <c r="E419" t="s">
        <v>8</v>
      </c>
      <c r="F419" s="20">
        <v>58</v>
      </c>
      <c r="G419" s="12">
        <v>2.9000000000000001E-2</v>
      </c>
      <c r="H419" s="20">
        <v>310</v>
      </c>
      <c r="I419" s="20">
        <v>2000</v>
      </c>
    </row>
    <row r="420" spans="1:9" x14ac:dyDescent="0.3">
      <c r="D420" t="s">
        <v>269</v>
      </c>
      <c r="F420" s="20">
        <v>58</v>
      </c>
      <c r="G420" s="12">
        <v>2.9000000000000001E-2</v>
      </c>
      <c r="H420" s="20">
        <v>310</v>
      </c>
      <c r="I420" s="20">
        <v>2000</v>
      </c>
    </row>
    <row r="421" spans="1:9" x14ac:dyDescent="0.3">
      <c r="C421" t="s">
        <v>239</v>
      </c>
      <c r="F421" s="20">
        <v>58</v>
      </c>
      <c r="G421" s="12">
        <v>2.9000000000000001E-2</v>
      </c>
      <c r="H421" s="20">
        <v>310</v>
      </c>
      <c r="I421" s="20">
        <v>2000</v>
      </c>
    </row>
    <row r="422" spans="1:9" x14ac:dyDescent="0.3">
      <c r="B422" t="s">
        <v>237</v>
      </c>
      <c r="F422" s="20">
        <v>58</v>
      </c>
      <c r="G422" s="12">
        <v>2.9000000000000001E-2</v>
      </c>
      <c r="H422" s="20">
        <v>310</v>
      </c>
      <c r="I422" s="20">
        <v>2000</v>
      </c>
    </row>
    <row r="423" spans="1:9" x14ac:dyDescent="0.3">
      <c r="A423" t="s">
        <v>329</v>
      </c>
      <c r="F423" s="20">
        <v>58</v>
      </c>
      <c r="G423" s="12">
        <v>2.9000000000000001E-2</v>
      </c>
      <c r="H423" s="20">
        <v>310</v>
      </c>
      <c r="I423" s="20">
        <v>2000</v>
      </c>
    </row>
    <row r="424" spans="1:9" x14ac:dyDescent="0.3">
      <c r="A424" t="s">
        <v>111</v>
      </c>
      <c r="B424" t="s">
        <v>24</v>
      </c>
      <c r="C424" t="s">
        <v>16</v>
      </c>
      <c r="D424" t="s">
        <v>10</v>
      </c>
      <c r="E424" t="s">
        <v>8</v>
      </c>
      <c r="F424" s="20">
        <v>59</v>
      </c>
      <c r="G424" s="12">
        <v>2.9499999999999998E-2</v>
      </c>
      <c r="H424" s="20">
        <v>95</v>
      </c>
      <c r="I424" s="20">
        <v>2000</v>
      </c>
    </row>
    <row r="425" spans="1:9" x14ac:dyDescent="0.3">
      <c r="D425" t="s">
        <v>269</v>
      </c>
      <c r="F425" s="20">
        <v>59</v>
      </c>
      <c r="G425" s="12">
        <v>2.9499999999999998E-2</v>
      </c>
      <c r="H425" s="20">
        <v>95</v>
      </c>
      <c r="I425" s="20">
        <v>2000</v>
      </c>
    </row>
    <row r="426" spans="1:9" x14ac:dyDescent="0.3">
      <c r="C426" t="s">
        <v>241</v>
      </c>
      <c r="F426" s="20">
        <v>59</v>
      </c>
      <c r="G426" s="12">
        <v>2.9499999999999998E-2</v>
      </c>
      <c r="H426" s="20">
        <v>95</v>
      </c>
      <c r="I426" s="20">
        <v>2000</v>
      </c>
    </row>
    <row r="427" spans="1:9" x14ac:dyDescent="0.3">
      <c r="B427" t="s">
        <v>234</v>
      </c>
      <c r="F427" s="20">
        <v>59</v>
      </c>
      <c r="G427" s="12">
        <v>2.9499999999999998E-2</v>
      </c>
      <c r="H427" s="20">
        <v>95</v>
      </c>
      <c r="I427" s="20">
        <v>2000</v>
      </c>
    </row>
    <row r="428" spans="1:9" x14ac:dyDescent="0.3">
      <c r="A428" t="s">
        <v>330</v>
      </c>
      <c r="F428" s="20">
        <v>59</v>
      </c>
      <c r="G428" s="12">
        <v>2.9499999999999998E-2</v>
      </c>
      <c r="H428" s="20">
        <v>95</v>
      </c>
      <c r="I428" s="20">
        <v>2000</v>
      </c>
    </row>
    <row r="429" spans="1:9" x14ac:dyDescent="0.3">
      <c r="A429" t="s">
        <v>112</v>
      </c>
      <c r="B429" t="s">
        <v>25</v>
      </c>
      <c r="C429" t="s">
        <v>17</v>
      </c>
      <c r="D429" t="s">
        <v>10</v>
      </c>
      <c r="E429" t="s">
        <v>9</v>
      </c>
      <c r="F429" s="20">
        <v>60</v>
      </c>
      <c r="G429" s="12">
        <v>0.03</v>
      </c>
      <c r="H429" s="20">
        <v>770</v>
      </c>
      <c r="I429" s="20">
        <v>2000</v>
      </c>
    </row>
    <row r="430" spans="1:9" x14ac:dyDescent="0.3">
      <c r="D430" t="s">
        <v>269</v>
      </c>
      <c r="F430" s="20">
        <v>60</v>
      </c>
      <c r="G430" s="12">
        <v>0.03</v>
      </c>
      <c r="H430" s="20">
        <v>770</v>
      </c>
      <c r="I430" s="20">
        <v>2000</v>
      </c>
    </row>
    <row r="431" spans="1:9" x14ac:dyDescent="0.3">
      <c r="C431" t="s">
        <v>243</v>
      </c>
      <c r="F431" s="20">
        <v>60</v>
      </c>
      <c r="G431" s="12">
        <v>0.03</v>
      </c>
      <c r="H431" s="20">
        <v>770</v>
      </c>
      <c r="I431" s="20">
        <v>2000</v>
      </c>
    </row>
    <row r="432" spans="1:9" x14ac:dyDescent="0.3">
      <c r="B432" t="s">
        <v>237</v>
      </c>
      <c r="F432" s="20">
        <v>60</v>
      </c>
      <c r="G432" s="12">
        <v>0.03</v>
      </c>
      <c r="H432" s="20">
        <v>770</v>
      </c>
      <c r="I432" s="20">
        <v>2000</v>
      </c>
    </row>
    <row r="433" spans="1:9" x14ac:dyDescent="0.3">
      <c r="A433" t="s">
        <v>331</v>
      </c>
      <c r="F433" s="20">
        <v>60</v>
      </c>
      <c r="G433" s="12">
        <v>0.03</v>
      </c>
      <c r="H433" s="20">
        <v>770</v>
      </c>
      <c r="I433" s="20">
        <v>2000</v>
      </c>
    </row>
    <row r="434" spans="1:9" x14ac:dyDescent="0.3">
      <c r="A434" t="s">
        <v>113</v>
      </c>
      <c r="B434" t="s">
        <v>24</v>
      </c>
      <c r="C434" t="s">
        <v>20</v>
      </c>
      <c r="D434" t="s">
        <v>10</v>
      </c>
      <c r="E434" t="s">
        <v>8</v>
      </c>
      <c r="F434" s="20">
        <v>61</v>
      </c>
      <c r="G434" s="12">
        <v>3.0499999999999999E-2</v>
      </c>
      <c r="H434" s="20">
        <v>130</v>
      </c>
      <c r="I434" s="20">
        <v>2000</v>
      </c>
    </row>
    <row r="435" spans="1:9" x14ac:dyDescent="0.3">
      <c r="D435" t="s">
        <v>269</v>
      </c>
      <c r="F435" s="20">
        <v>61</v>
      </c>
      <c r="G435" s="12">
        <v>3.0499999999999999E-2</v>
      </c>
      <c r="H435" s="20">
        <v>130</v>
      </c>
      <c r="I435" s="20">
        <v>2000</v>
      </c>
    </row>
    <row r="436" spans="1:9" x14ac:dyDescent="0.3">
      <c r="C436" t="s">
        <v>245</v>
      </c>
      <c r="F436" s="20">
        <v>61</v>
      </c>
      <c r="G436" s="12">
        <v>3.0499999999999999E-2</v>
      </c>
      <c r="H436" s="20">
        <v>130</v>
      </c>
      <c r="I436" s="20">
        <v>2000</v>
      </c>
    </row>
    <row r="437" spans="1:9" x14ac:dyDescent="0.3">
      <c r="B437" t="s">
        <v>234</v>
      </c>
      <c r="F437" s="20">
        <v>61</v>
      </c>
      <c r="G437" s="12">
        <v>3.0499999999999999E-2</v>
      </c>
      <c r="H437" s="20">
        <v>130</v>
      </c>
      <c r="I437" s="20">
        <v>2000</v>
      </c>
    </row>
    <row r="438" spans="1:9" x14ac:dyDescent="0.3">
      <c r="A438" t="s">
        <v>332</v>
      </c>
      <c r="F438" s="20">
        <v>61</v>
      </c>
      <c r="G438" s="12">
        <v>3.0499999999999999E-2</v>
      </c>
      <c r="H438" s="20">
        <v>130</v>
      </c>
      <c r="I438" s="20">
        <v>2000</v>
      </c>
    </row>
    <row r="439" spans="1:9" x14ac:dyDescent="0.3">
      <c r="A439" t="s">
        <v>114</v>
      </c>
      <c r="B439" t="s">
        <v>25</v>
      </c>
      <c r="C439" t="s">
        <v>18</v>
      </c>
      <c r="D439" t="s">
        <v>10</v>
      </c>
      <c r="E439" t="s">
        <v>8</v>
      </c>
      <c r="F439" s="20">
        <v>62</v>
      </c>
      <c r="G439" s="12">
        <v>3.1E-2</v>
      </c>
      <c r="H439" s="20">
        <v>460</v>
      </c>
      <c r="I439" s="20">
        <v>2000</v>
      </c>
    </row>
    <row r="440" spans="1:9" x14ac:dyDescent="0.3">
      <c r="D440" t="s">
        <v>269</v>
      </c>
      <c r="F440" s="20">
        <v>62</v>
      </c>
      <c r="G440" s="12">
        <v>3.1E-2</v>
      </c>
      <c r="H440" s="20">
        <v>460</v>
      </c>
      <c r="I440" s="20">
        <v>2000</v>
      </c>
    </row>
    <row r="441" spans="1:9" x14ac:dyDescent="0.3">
      <c r="C441" t="s">
        <v>247</v>
      </c>
      <c r="F441" s="20">
        <v>62</v>
      </c>
      <c r="G441" s="12">
        <v>3.1E-2</v>
      </c>
      <c r="H441" s="20">
        <v>460</v>
      </c>
      <c r="I441" s="20">
        <v>2000</v>
      </c>
    </row>
    <row r="442" spans="1:9" x14ac:dyDescent="0.3">
      <c r="B442" t="s">
        <v>237</v>
      </c>
      <c r="F442" s="20">
        <v>62</v>
      </c>
      <c r="G442" s="12">
        <v>3.1E-2</v>
      </c>
      <c r="H442" s="20">
        <v>460</v>
      </c>
      <c r="I442" s="20">
        <v>2000</v>
      </c>
    </row>
    <row r="443" spans="1:9" x14ac:dyDescent="0.3">
      <c r="A443" t="s">
        <v>333</v>
      </c>
      <c r="F443" s="20">
        <v>62</v>
      </c>
      <c r="G443" s="12">
        <v>3.1E-2</v>
      </c>
      <c r="H443" s="20">
        <v>460</v>
      </c>
      <c r="I443" s="20">
        <v>2000</v>
      </c>
    </row>
    <row r="444" spans="1:9" x14ac:dyDescent="0.3">
      <c r="A444" t="s">
        <v>115</v>
      </c>
      <c r="B444" t="s">
        <v>24</v>
      </c>
      <c r="C444" t="s">
        <v>19</v>
      </c>
      <c r="D444" t="s">
        <v>10</v>
      </c>
      <c r="E444" t="s">
        <v>8</v>
      </c>
      <c r="F444" s="20">
        <v>63</v>
      </c>
      <c r="G444" s="12">
        <v>3.15E-2</v>
      </c>
      <c r="H444" s="20">
        <v>390</v>
      </c>
      <c r="I444" s="20">
        <v>2000</v>
      </c>
    </row>
    <row r="445" spans="1:9" x14ac:dyDescent="0.3">
      <c r="D445" t="s">
        <v>269</v>
      </c>
      <c r="F445" s="20">
        <v>63</v>
      </c>
      <c r="G445" s="12">
        <v>3.15E-2</v>
      </c>
      <c r="H445" s="20">
        <v>390</v>
      </c>
      <c r="I445" s="20">
        <v>2000</v>
      </c>
    </row>
    <row r="446" spans="1:9" x14ac:dyDescent="0.3">
      <c r="C446" t="s">
        <v>249</v>
      </c>
      <c r="F446" s="20">
        <v>63</v>
      </c>
      <c r="G446" s="12">
        <v>3.15E-2</v>
      </c>
      <c r="H446" s="20">
        <v>390</v>
      </c>
      <c r="I446" s="20">
        <v>2000</v>
      </c>
    </row>
    <row r="447" spans="1:9" x14ac:dyDescent="0.3">
      <c r="B447" t="s">
        <v>234</v>
      </c>
      <c r="F447" s="20">
        <v>63</v>
      </c>
      <c r="G447" s="12">
        <v>3.15E-2</v>
      </c>
      <c r="H447" s="20">
        <v>390</v>
      </c>
      <c r="I447" s="20">
        <v>2000</v>
      </c>
    </row>
    <row r="448" spans="1:9" x14ac:dyDescent="0.3">
      <c r="A448" t="s">
        <v>334</v>
      </c>
      <c r="F448" s="20">
        <v>63</v>
      </c>
      <c r="G448" s="12">
        <v>3.15E-2</v>
      </c>
      <c r="H448" s="20">
        <v>390</v>
      </c>
      <c r="I448" s="20">
        <v>2000</v>
      </c>
    </row>
    <row r="449" spans="1:9" x14ac:dyDescent="0.3">
      <c r="A449" t="s">
        <v>116</v>
      </c>
      <c r="B449" t="s">
        <v>25</v>
      </c>
      <c r="C449" t="s">
        <v>21</v>
      </c>
      <c r="D449" t="s">
        <v>10</v>
      </c>
      <c r="E449" t="s">
        <v>7</v>
      </c>
      <c r="F449" s="20">
        <v>64</v>
      </c>
      <c r="G449" s="12">
        <v>3.2000000000000001E-2</v>
      </c>
      <c r="H449" s="20">
        <v>520</v>
      </c>
      <c r="I449" s="20">
        <v>2000</v>
      </c>
    </row>
    <row r="450" spans="1:9" x14ac:dyDescent="0.3">
      <c r="D450" t="s">
        <v>269</v>
      </c>
      <c r="F450" s="20">
        <v>64</v>
      </c>
      <c r="G450" s="12">
        <v>3.2000000000000001E-2</v>
      </c>
      <c r="H450" s="20">
        <v>520</v>
      </c>
      <c r="I450" s="20">
        <v>2000</v>
      </c>
    </row>
    <row r="451" spans="1:9" x14ac:dyDescent="0.3">
      <c r="C451" t="s">
        <v>251</v>
      </c>
      <c r="F451" s="20">
        <v>64</v>
      </c>
      <c r="G451" s="12">
        <v>3.2000000000000001E-2</v>
      </c>
      <c r="H451" s="20">
        <v>520</v>
      </c>
      <c r="I451" s="20">
        <v>2000</v>
      </c>
    </row>
    <row r="452" spans="1:9" x14ac:dyDescent="0.3">
      <c r="B452" t="s">
        <v>237</v>
      </c>
      <c r="F452" s="20">
        <v>64</v>
      </c>
      <c r="G452" s="12">
        <v>3.2000000000000001E-2</v>
      </c>
      <c r="H452" s="20">
        <v>520</v>
      </c>
      <c r="I452" s="20">
        <v>2000</v>
      </c>
    </row>
    <row r="453" spans="1:9" x14ac:dyDescent="0.3">
      <c r="A453" t="s">
        <v>335</v>
      </c>
      <c r="F453" s="20">
        <v>64</v>
      </c>
      <c r="G453" s="12">
        <v>3.2000000000000001E-2</v>
      </c>
      <c r="H453" s="20">
        <v>520</v>
      </c>
      <c r="I453" s="20">
        <v>2000</v>
      </c>
    </row>
    <row r="454" spans="1:9" x14ac:dyDescent="0.3">
      <c r="A454" t="s">
        <v>117</v>
      </c>
      <c r="B454" t="s">
        <v>24</v>
      </c>
      <c r="C454" t="s">
        <v>13</v>
      </c>
      <c r="D454" t="s">
        <v>10</v>
      </c>
      <c r="E454" t="s">
        <v>9</v>
      </c>
      <c r="F454" s="20">
        <v>65</v>
      </c>
      <c r="G454" s="12">
        <v>3.2500000000000001E-2</v>
      </c>
      <c r="H454" s="20">
        <v>880</v>
      </c>
      <c r="I454" s="20">
        <v>2000</v>
      </c>
    </row>
    <row r="455" spans="1:9" x14ac:dyDescent="0.3">
      <c r="D455" t="s">
        <v>269</v>
      </c>
      <c r="F455" s="20">
        <v>65</v>
      </c>
      <c r="G455" s="12">
        <v>3.2500000000000001E-2</v>
      </c>
      <c r="H455" s="20">
        <v>880</v>
      </c>
      <c r="I455" s="20">
        <v>2000</v>
      </c>
    </row>
    <row r="456" spans="1:9" x14ac:dyDescent="0.3">
      <c r="C456" t="s">
        <v>233</v>
      </c>
      <c r="F456" s="20">
        <v>65</v>
      </c>
      <c r="G456" s="12">
        <v>3.2500000000000001E-2</v>
      </c>
      <c r="H456" s="20">
        <v>880</v>
      </c>
      <c r="I456" s="20">
        <v>2000</v>
      </c>
    </row>
    <row r="457" spans="1:9" x14ac:dyDescent="0.3">
      <c r="B457" t="s">
        <v>234</v>
      </c>
      <c r="F457" s="20">
        <v>65</v>
      </c>
      <c r="G457" s="12">
        <v>3.2500000000000001E-2</v>
      </c>
      <c r="H457" s="20">
        <v>880</v>
      </c>
      <c r="I457" s="20">
        <v>2000</v>
      </c>
    </row>
    <row r="458" spans="1:9" x14ac:dyDescent="0.3">
      <c r="A458" t="s">
        <v>336</v>
      </c>
      <c r="F458" s="20">
        <v>65</v>
      </c>
      <c r="G458" s="12">
        <v>3.2500000000000001E-2</v>
      </c>
      <c r="H458" s="20">
        <v>880</v>
      </c>
      <c r="I458" s="20">
        <v>2000</v>
      </c>
    </row>
    <row r="459" spans="1:9" x14ac:dyDescent="0.3">
      <c r="A459" t="s">
        <v>118</v>
      </c>
      <c r="B459" t="s">
        <v>25</v>
      </c>
      <c r="C459" t="s">
        <v>14</v>
      </c>
      <c r="D459" t="s">
        <v>11</v>
      </c>
      <c r="E459" t="s">
        <v>8</v>
      </c>
      <c r="F459" s="20">
        <v>116</v>
      </c>
      <c r="G459" s="12">
        <v>5.8000000000000003E-2</v>
      </c>
      <c r="H459" s="20">
        <v>105</v>
      </c>
      <c r="I459" s="20">
        <v>2000</v>
      </c>
    </row>
    <row r="460" spans="1:9" x14ac:dyDescent="0.3">
      <c r="D460" t="s">
        <v>290</v>
      </c>
      <c r="F460" s="20">
        <v>116</v>
      </c>
      <c r="G460" s="12">
        <v>5.8000000000000003E-2</v>
      </c>
      <c r="H460" s="20">
        <v>105</v>
      </c>
      <c r="I460" s="20">
        <v>2000</v>
      </c>
    </row>
    <row r="461" spans="1:9" x14ac:dyDescent="0.3">
      <c r="C461" t="s">
        <v>236</v>
      </c>
      <c r="F461" s="20">
        <v>116</v>
      </c>
      <c r="G461" s="12">
        <v>5.8000000000000003E-2</v>
      </c>
      <c r="H461" s="20">
        <v>105</v>
      </c>
      <c r="I461" s="20">
        <v>2000</v>
      </c>
    </row>
    <row r="462" spans="1:9" x14ac:dyDescent="0.3">
      <c r="B462" t="s">
        <v>237</v>
      </c>
      <c r="F462" s="20">
        <v>116</v>
      </c>
      <c r="G462" s="12">
        <v>5.8000000000000003E-2</v>
      </c>
      <c r="H462" s="20">
        <v>105</v>
      </c>
      <c r="I462" s="20">
        <v>2000</v>
      </c>
    </row>
    <row r="463" spans="1:9" x14ac:dyDescent="0.3">
      <c r="A463" t="s">
        <v>337</v>
      </c>
      <c r="F463" s="20">
        <v>116</v>
      </c>
      <c r="G463" s="12">
        <v>5.8000000000000003E-2</v>
      </c>
      <c r="H463" s="20">
        <v>105</v>
      </c>
      <c r="I463" s="20">
        <v>2000</v>
      </c>
    </row>
    <row r="464" spans="1:9" x14ac:dyDescent="0.3">
      <c r="A464" t="s">
        <v>119</v>
      </c>
      <c r="B464" t="s">
        <v>24</v>
      </c>
      <c r="C464" t="s">
        <v>15</v>
      </c>
      <c r="D464" t="s">
        <v>6</v>
      </c>
      <c r="E464" t="s">
        <v>7</v>
      </c>
      <c r="F464" s="20">
        <v>38</v>
      </c>
      <c r="G464" s="12">
        <v>1.9E-2</v>
      </c>
      <c r="H464" s="20">
        <v>550</v>
      </c>
      <c r="I464" s="20">
        <v>2000</v>
      </c>
    </row>
    <row r="465" spans="1:9" x14ac:dyDescent="0.3">
      <c r="D465" t="s">
        <v>232</v>
      </c>
      <c r="F465" s="20">
        <v>38</v>
      </c>
      <c r="G465" s="12">
        <v>1.9E-2</v>
      </c>
      <c r="H465" s="20">
        <v>550</v>
      </c>
      <c r="I465" s="20">
        <v>2000</v>
      </c>
    </row>
    <row r="466" spans="1:9" x14ac:dyDescent="0.3">
      <c r="C466" t="s">
        <v>239</v>
      </c>
      <c r="F466" s="20">
        <v>38</v>
      </c>
      <c r="G466" s="12">
        <v>1.9E-2</v>
      </c>
      <c r="H466" s="20">
        <v>550</v>
      </c>
      <c r="I466" s="20">
        <v>2000</v>
      </c>
    </row>
    <row r="467" spans="1:9" x14ac:dyDescent="0.3">
      <c r="B467" t="s">
        <v>234</v>
      </c>
      <c r="F467" s="20">
        <v>38</v>
      </c>
      <c r="G467" s="12">
        <v>1.9E-2</v>
      </c>
      <c r="H467" s="20">
        <v>550</v>
      </c>
      <c r="I467" s="20">
        <v>2000</v>
      </c>
    </row>
    <row r="468" spans="1:9" x14ac:dyDescent="0.3">
      <c r="A468" t="s">
        <v>338</v>
      </c>
      <c r="F468" s="20">
        <v>38</v>
      </c>
      <c r="G468" s="12">
        <v>1.9E-2</v>
      </c>
      <c r="H468" s="20">
        <v>550</v>
      </c>
      <c r="I468" s="20">
        <v>2000</v>
      </c>
    </row>
    <row r="469" spans="1:9" x14ac:dyDescent="0.3">
      <c r="A469" t="s">
        <v>120</v>
      </c>
      <c r="B469" t="s">
        <v>25</v>
      </c>
      <c r="C469" t="s">
        <v>16</v>
      </c>
      <c r="D469" t="s">
        <v>6</v>
      </c>
      <c r="E469" t="s">
        <v>8</v>
      </c>
      <c r="F469" s="20">
        <v>39</v>
      </c>
      <c r="G469" s="12">
        <v>1.95E-2</v>
      </c>
      <c r="H469" s="20">
        <v>145</v>
      </c>
      <c r="I469" s="20">
        <v>2000</v>
      </c>
    </row>
    <row r="470" spans="1:9" x14ac:dyDescent="0.3">
      <c r="D470" t="s">
        <v>232</v>
      </c>
      <c r="F470" s="20">
        <v>39</v>
      </c>
      <c r="G470" s="12">
        <v>1.95E-2</v>
      </c>
      <c r="H470" s="20">
        <v>145</v>
      </c>
      <c r="I470" s="20">
        <v>2000</v>
      </c>
    </row>
    <row r="471" spans="1:9" x14ac:dyDescent="0.3">
      <c r="C471" t="s">
        <v>241</v>
      </c>
      <c r="F471" s="20">
        <v>39</v>
      </c>
      <c r="G471" s="12">
        <v>1.95E-2</v>
      </c>
      <c r="H471" s="20">
        <v>145</v>
      </c>
      <c r="I471" s="20">
        <v>2000</v>
      </c>
    </row>
    <row r="472" spans="1:9" x14ac:dyDescent="0.3">
      <c r="B472" t="s">
        <v>237</v>
      </c>
      <c r="F472" s="20">
        <v>39</v>
      </c>
      <c r="G472" s="12">
        <v>1.95E-2</v>
      </c>
      <c r="H472" s="20">
        <v>145</v>
      </c>
      <c r="I472" s="20">
        <v>2000</v>
      </c>
    </row>
    <row r="473" spans="1:9" x14ac:dyDescent="0.3">
      <c r="A473" t="s">
        <v>339</v>
      </c>
      <c r="F473" s="20">
        <v>39</v>
      </c>
      <c r="G473" s="12">
        <v>1.95E-2</v>
      </c>
      <c r="H473" s="20">
        <v>145</v>
      </c>
      <c r="I473" s="20">
        <v>2000</v>
      </c>
    </row>
    <row r="474" spans="1:9" x14ac:dyDescent="0.3">
      <c r="A474" t="s">
        <v>121</v>
      </c>
      <c r="B474" t="s">
        <v>24</v>
      </c>
      <c r="C474" t="s">
        <v>17</v>
      </c>
      <c r="D474" t="s">
        <v>6</v>
      </c>
      <c r="E474" t="s">
        <v>8</v>
      </c>
      <c r="F474" s="20">
        <v>40</v>
      </c>
      <c r="G474" s="12">
        <v>0.02</v>
      </c>
      <c r="H474" s="20">
        <v>300</v>
      </c>
      <c r="I474" s="20">
        <v>2000</v>
      </c>
    </row>
    <row r="475" spans="1:9" x14ac:dyDescent="0.3">
      <c r="D475" t="s">
        <v>232</v>
      </c>
      <c r="F475" s="20">
        <v>40</v>
      </c>
      <c r="G475" s="12">
        <v>0.02</v>
      </c>
      <c r="H475" s="20">
        <v>300</v>
      </c>
      <c r="I475" s="20">
        <v>2000</v>
      </c>
    </row>
    <row r="476" spans="1:9" x14ac:dyDescent="0.3">
      <c r="C476" t="s">
        <v>243</v>
      </c>
      <c r="F476" s="20">
        <v>40</v>
      </c>
      <c r="G476" s="12">
        <v>0.02</v>
      </c>
      <c r="H476" s="20">
        <v>300</v>
      </c>
      <c r="I476" s="20">
        <v>2000</v>
      </c>
    </row>
    <row r="477" spans="1:9" x14ac:dyDescent="0.3">
      <c r="B477" t="s">
        <v>234</v>
      </c>
      <c r="F477" s="20">
        <v>40</v>
      </c>
      <c r="G477" s="12">
        <v>0.02</v>
      </c>
      <c r="H477" s="20">
        <v>300</v>
      </c>
      <c r="I477" s="20">
        <v>2000</v>
      </c>
    </row>
    <row r="478" spans="1:9" x14ac:dyDescent="0.3">
      <c r="A478" t="s">
        <v>340</v>
      </c>
      <c r="F478" s="20">
        <v>40</v>
      </c>
      <c r="G478" s="12">
        <v>0.02</v>
      </c>
      <c r="H478" s="20">
        <v>300</v>
      </c>
      <c r="I478" s="20">
        <v>2000</v>
      </c>
    </row>
    <row r="479" spans="1:9" x14ac:dyDescent="0.3">
      <c r="A479" t="s">
        <v>122</v>
      </c>
      <c r="B479" t="s">
        <v>25</v>
      </c>
      <c r="C479" t="s">
        <v>20</v>
      </c>
      <c r="D479" t="s">
        <v>6</v>
      </c>
      <c r="E479" t="s">
        <v>8</v>
      </c>
      <c r="F479" s="20">
        <v>41</v>
      </c>
      <c r="G479" s="12">
        <v>2.0500000000000001E-2</v>
      </c>
      <c r="H479" s="20">
        <v>65</v>
      </c>
      <c r="I479" s="20">
        <v>2000</v>
      </c>
    </row>
    <row r="480" spans="1:9" x14ac:dyDescent="0.3">
      <c r="D480" t="s">
        <v>232</v>
      </c>
      <c r="F480" s="20">
        <v>41</v>
      </c>
      <c r="G480" s="12">
        <v>2.0500000000000001E-2</v>
      </c>
      <c r="H480" s="20">
        <v>65</v>
      </c>
      <c r="I480" s="20">
        <v>2000</v>
      </c>
    </row>
    <row r="481" spans="1:9" x14ac:dyDescent="0.3">
      <c r="C481" t="s">
        <v>245</v>
      </c>
      <c r="F481" s="20">
        <v>41</v>
      </c>
      <c r="G481" s="12">
        <v>2.0500000000000001E-2</v>
      </c>
      <c r="H481" s="20">
        <v>65</v>
      </c>
      <c r="I481" s="20">
        <v>2000</v>
      </c>
    </row>
    <row r="482" spans="1:9" x14ac:dyDescent="0.3">
      <c r="B482" t="s">
        <v>237</v>
      </c>
      <c r="F482" s="20">
        <v>41</v>
      </c>
      <c r="G482" s="12">
        <v>2.0500000000000001E-2</v>
      </c>
      <c r="H482" s="20">
        <v>65</v>
      </c>
      <c r="I482" s="20">
        <v>2000</v>
      </c>
    </row>
    <row r="483" spans="1:9" x14ac:dyDescent="0.3">
      <c r="A483" t="s">
        <v>341</v>
      </c>
      <c r="F483" s="20">
        <v>41</v>
      </c>
      <c r="G483" s="12">
        <v>2.0500000000000001E-2</v>
      </c>
      <c r="H483" s="20">
        <v>65</v>
      </c>
      <c r="I483" s="20">
        <v>2000</v>
      </c>
    </row>
    <row r="484" spans="1:9" x14ac:dyDescent="0.3">
      <c r="A484" t="s">
        <v>123</v>
      </c>
      <c r="B484" t="s">
        <v>24</v>
      </c>
      <c r="C484" t="s">
        <v>18</v>
      </c>
      <c r="D484" t="s">
        <v>6</v>
      </c>
      <c r="E484" t="s">
        <v>9</v>
      </c>
      <c r="F484" s="20">
        <v>42</v>
      </c>
      <c r="G484" s="12">
        <v>2.1000000000000001E-2</v>
      </c>
      <c r="H484" s="20">
        <v>740</v>
      </c>
      <c r="I484" s="20">
        <v>2000</v>
      </c>
    </row>
    <row r="485" spans="1:9" x14ac:dyDescent="0.3">
      <c r="D485" t="s">
        <v>232</v>
      </c>
      <c r="F485" s="20">
        <v>42</v>
      </c>
      <c r="G485" s="12">
        <v>2.1000000000000001E-2</v>
      </c>
      <c r="H485" s="20">
        <v>740</v>
      </c>
      <c r="I485" s="20">
        <v>2000</v>
      </c>
    </row>
    <row r="486" spans="1:9" x14ac:dyDescent="0.3">
      <c r="C486" t="s">
        <v>247</v>
      </c>
      <c r="F486" s="20">
        <v>42</v>
      </c>
      <c r="G486" s="12">
        <v>2.1000000000000001E-2</v>
      </c>
      <c r="H486" s="20">
        <v>740</v>
      </c>
      <c r="I486" s="20">
        <v>2000</v>
      </c>
    </row>
    <row r="487" spans="1:9" x14ac:dyDescent="0.3">
      <c r="B487" t="s">
        <v>234</v>
      </c>
      <c r="F487" s="20">
        <v>42</v>
      </c>
      <c r="G487" s="12">
        <v>2.1000000000000001E-2</v>
      </c>
      <c r="H487" s="20">
        <v>740</v>
      </c>
      <c r="I487" s="20">
        <v>2000</v>
      </c>
    </row>
    <row r="488" spans="1:9" x14ac:dyDescent="0.3">
      <c r="A488" t="s">
        <v>342</v>
      </c>
      <c r="F488" s="20">
        <v>42</v>
      </c>
      <c r="G488" s="12">
        <v>2.1000000000000001E-2</v>
      </c>
      <c r="H488" s="20">
        <v>740</v>
      </c>
      <c r="I488" s="20">
        <v>2000</v>
      </c>
    </row>
    <row r="489" spans="1:9" x14ac:dyDescent="0.3">
      <c r="A489" t="s">
        <v>124</v>
      </c>
      <c r="B489" t="s">
        <v>25</v>
      </c>
      <c r="C489" t="s">
        <v>19</v>
      </c>
      <c r="D489" t="s">
        <v>6</v>
      </c>
      <c r="E489" t="s">
        <v>8</v>
      </c>
      <c r="F489" s="20">
        <v>43</v>
      </c>
      <c r="G489" s="12">
        <v>2.1499999999999998E-2</v>
      </c>
      <c r="H489" s="20">
        <v>210</v>
      </c>
      <c r="I489" s="20">
        <v>2000</v>
      </c>
    </row>
    <row r="490" spans="1:9" x14ac:dyDescent="0.3">
      <c r="D490" t="s">
        <v>232</v>
      </c>
      <c r="F490" s="20">
        <v>43</v>
      </c>
      <c r="G490" s="12">
        <v>2.1499999999999998E-2</v>
      </c>
      <c r="H490" s="20">
        <v>210</v>
      </c>
      <c r="I490" s="20">
        <v>2000</v>
      </c>
    </row>
    <row r="491" spans="1:9" x14ac:dyDescent="0.3">
      <c r="C491" t="s">
        <v>249</v>
      </c>
      <c r="F491" s="20">
        <v>43</v>
      </c>
      <c r="G491" s="12">
        <v>2.1499999999999998E-2</v>
      </c>
      <c r="H491" s="20">
        <v>210</v>
      </c>
      <c r="I491" s="20">
        <v>2000</v>
      </c>
    </row>
    <row r="492" spans="1:9" x14ac:dyDescent="0.3">
      <c r="B492" t="s">
        <v>237</v>
      </c>
      <c r="F492" s="20">
        <v>43</v>
      </c>
      <c r="G492" s="12">
        <v>2.1499999999999998E-2</v>
      </c>
      <c r="H492" s="20">
        <v>210</v>
      </c>
      <c r="I492" s="20">
        <v>2000</v>
      </c>
    </row>
    <row r="493" spans="1:9" x14ac:dyDescent="0.3">
      <c r="A493" t="s">
        <v>343</v>
      </c>
      <c r="F493" s="20">
        <v>43</v>
      </c>
      <c r="G493" s="12">
        <v>2.1499999999999998E-2</v>
      </c>
      <c r="H493" s="20">
        <v>210</v>
      </c>
      <c r="I493" s="20">
        <v>2000</v>
      </c>
    </row>
    <row r="494" spans="1:9" x14ac:dyDescent="0.3">
      <c r="A494" t="s">
        <v>125</v>
      </c>
      <c r="B494" t="s">
        <v>24</v>
      </c>
      <c r="C494" t="s">
        <v>21</v>
      </c>
      <c r="D494" t="s">
        <v>6</v>
      </c>
      <c r="E494" t="s">
        <v>8</v>
      </c>
      <c r="F494" s="20">
        <v>44</v>
      </c>
      <c r="G494" s="12">
        <v>2.1999999999999999E-2</v>
      </c>
      <c r="H494" s="20">
        <v>430</v>
      </c>
      <c r="I494" s="20">
        <v>2000</v>
      </c>
    </row>
    <row r="495" spans="1:9" x14ac:dyDescent="0.3">
      <c r="D495" t="s">
        <v>232</v>
      </c>
      <c r="F495" s="20">
        <v>44</v>
      </c>
      <c r="G495" s="12">
        <v>2.1999999999999999E-2</v>
      </c>
      <c r="H495" s="20">
        <v>430</v>
      </c>
      <c r="I495" s="20">
        <v>2000</v>
      </c>
    </row>
    <row r="496" spans="1:9" x14ac:dyDescent="0.3">
      <c r="C496" t="s">
        <v>251</v>
      </c>
      <c r="F496" s="20">
        <v>44</v>
      </c>
      <c r="G496" s="12">
        <v>2.1999999999999999E-2</v>
      </c>
      <c r="H496" s="20">
        <v>430</v>
      </c>
      <c r="I496" s="20">
        <v>2000</v>
      </c>
    </row>
    <row r="497" spans="1:9" x14ac:dyDescent="0.3">
      <c r="B497" t="s">
        <v>234</v>
      </c>
      <c r="F497" s="20">
        <v>44</v>
      </c>
      <c r="G497" s="12">
        <v>2.1999999999999999E-2</v>
      </c>
      <c r="H497" s="20">
        <v>430</v>
      </c>
      <c r="I497" s="20">
        <v>2000</v>
      </c>
    </row>
    <row r="498" spans="1:9" x14ac:dyDescent="0.3">
      <c r="A498" t="s">
        <v>344</v>
      </c>
      <c r="F498" s="20">
        <v>44</v>
      </c>
      <c r="G498" s="12">
        <v>2.1999999999999999E-2</v>
      </c>
      <c r="H498" s="20">
        <v>430</v>
      </c>
      <c r="I498" s="20">
        <v>2000</v>
      </c>
    </row>
    <row r="499" spans="1:9" x14ac:dyDescent="0.3">
      <c r="A499" t="s">
        <v>126</v>
      </c>
      <c r="B499" t="s">
        <v>25</v>
      </c>
      <c r="C499" t="s">
        <v>13</v>
      </c>
      <c r="D499" t="s">
        <v>6</v>
      </c>
      <c r="E499" t="s">
        <v>8</v>
      </c>
      <c r="F499" s="20">
        <v>45</v>
      </c>
      <c r="G499" s="12">
        <v>2.2499999999999999E-2</v>
      </c>
      <c r="H499" s="20">
        <v>125</v>
      </c>
      <c r="I499" s="20">
        <v>2000</v>
      </c>
    </row>
    <row r="500" spans="1:9" x14ac:dyDescent="0.3">
      <c r="D500" t="s">
        <v>232</v>
      </c>
      <c r="F500" s="20">
        <v>45</v>
      </c>
      <c r="G500" s="12">
        <v>2.2499999999999999E-2</v>
      </c>
      <c r="H500" s="20">
        <v>125</v>
      </c>
      <c r="I500" s="20">
        <v>2000</v>
      </c>
    </row>
    <row r="501" spans="1:9" x14ac:dyDescent="0.3">
      <c r="C501" t="s">
        <v>233</v>
      </c>
      <c r="F501" s="20">
        <v>45</v>
      </c>
      <c r="G501" s="12">
        <v>2.2499999999999999E-2</v>
      </c>
      <c r="H501" s="20">
        <v>125</v>
      </c>
      <c r="I501" s="20">
        <v>2000</v>
      </c>
    </row>
    <row r="502" spans="1:9" x14ac:dyDescent="0.3">
      <c r="B502" t="s">
        <v>237</v>
      </c>
      <c r="F502" s="20">
        <v>45</v>
      </c>
      <c r="G502" s="12">
        <v>2.2499999999999999E-2</v>
      </c>
      <c r="H502" s="20">
        <v>125</v>
      </c>
      <c r="I502" s="20">
        <v>2000</v>
      </c>
    </row>
    <row r="503" spans="1:9" x14ac:dyDescent="0.3">
      <c r="A503" t="s">
        <v>345</v>
      </c>
      <c r="F503" s="20">
        <v>45</v>
      </c>
      <c r="G503" s="12">
        <v>2.2499999999999999E-2</v>
      </c>
      <c r="H503" s="20">
        <v>125</v>
      </c>
      <c r="I503" s="20">
        <v>2000</v>
      </c>
    </row>
    <row r="504" spans="1:9" x14ac:dyDescent="0.3">
      <c r="A504" t="s">
        <v>127</v>
      </c>
      <c r="B504" t="s">
        <v>24</v>
      </c>
      <c r="C504" t="s">
        <v>14</v>
      </c>
      <c r="D504" t="s">
        <v>6</v>
      </c>
      <c r="E504" t="s">
        <v>7</v>
      </c>
      <c r="F504" s="20">
        <v>46</v>
      </c>
      <c r="G504" s="12">
        <v>2.3E-2</v>
      </c>
      <c r="H504" s="20">
        <v>680</v>
      </c>
      <c r="I504" s="20">
        <v>2000</v>
      </c>
    </row>
    <row r="505" spans="1:9" x14ac:dyDescent="0.3">
      <c r="D505" t="s">
        <v>232</v>
      </c>
      <c r="F505" s="20">
        <v>46</v>
      </c>
      <c r="G505" s="12">
        <v>2.3E-2</v>
      </c>
      <c r="H505" s="20">
        <v>680</v>
      </c>
      <c r="I505" s="20">
        <v>2000</v>
      </c>
    </row>
    <row r="506" spans="1:9" x14ac:dyDescent="0.3">
      <c r="C506" t="s">
        <v>236</v>
      </c>
      <c r="F506" s="20">
        <v>46</v>
      </c>
      <c r="G506" s="12">
        <v>2.3E-2</v>
      </c>
      <c r="H506" s="20">
        <v>680</v>
      </c>
      <c r="I506" s="20">
        <v>2000</v>
      </c>
    </row>
    <row r="507" spans="1:9" x14ac:dyDescent="0.3">
      <c r="B507" t="s">
        <v>234</v>
      </c>
      <c r="F507" s="20">
        <v>46</v>
      </c>
      <c r="G507" s="12">
        <v>2.3E-2</v>
      </c>
      <c r="H507" s="20">
        <v>680</v>
      </c>
      <c r="I507" s="20">
        <v>2000</v>
      </c>
    </row>
    <row r="508" spans="1:9" x14ac:dyDescent="0.3">
      <c r="A508" t="s">
        <v>346</v>
      </c>
      <c r="F508" s="20">
        <v>46</v>
      </c>
      <c r="G508" s="12">
        <v>2.3E-2</v>
      </c>
      <c r="H508" s="20">
        <v>680</v>
      </c>
      <c r="I508" s="20">
        <v>2000</v>
      </c>
    </row>
    <row r="509" spans="1:9" x14ac:dyDescent="0.3">
      <c r="A509" t="s">
        <v>128</v>
      </c>
      <c r="B509" t="s">
        <v>25</v>
      </c>
      <c r="C509" t="s">
        <v>15</v>
      </c>
      <c r="D509" t="s">
        <v>6</v>
      </c>
      <c r="E509" t="s">
        <v>8</v>
      </c>
      <c r="F509" s="20">
        <v>47</v>
      </c>
      <c r="G509" s="12">
        <v>2.35E-2</v>
      </c>
      <c r="H509" s="20">
        <v>250</v>
      </c>
      <c r="I509" s="20">
        <v>2000</v>
      </c>
    </row>
    <row r="510" spans="1:9" x14ac:dyDescent="0.3">
      <c r="D510" t="s">
        <v>232</v>
      </c>
      <c r="F510" s="20">
        <v>47</v>
      </c>
      <c r="G510" s="12">
        <v>2.35E-2</v>
      </c>
      <c r="H510" s="20">
        <v>250</v>
      </c>
      <c r="I510" s="20">
        <v>2000</v>
      </c>
    </row>
    <row r="511" spans="1:9" x14ac:dyDescent="0.3">
      <c r="C511" t="s">
        <v>239</v>
      </c>
      <c r="F511" s="20">
        <v>47</v>
      </c>
      <c r="G511" s="12">
        <v>2.35E-2</v>
      </c>
      <c r="H511" s="20">
        <v>250</v>
      </c>
      <c r="I511" s="20">
        <v>2000</v>
      </c>
    </row>
    <row r="512" spans="1:9" x14ac:dyDescent="0.3">
      <c r="B512" t="s">
        <v>237</v>
      </c>
      <c r="F512" s="20">
        <v>47</v>
      </c>
      <c r="G512" s="12">
        <v>2.35E-2</v>
      </c>
      <c r="H512" s="20">
        <v>250</v>
      </c>
      <c r="I512" s="20">
        <v>2000</v>
      </c>
    </row>
    <row r="513" spans="1:9" x14ac:dyDescent="0.3">
      <c r="A513" t="s">
        <v>347</v>
      </c>
      <c r="F513" s="20">
        <v>47</v>
      </c>
      <c r="G513" s="12">
        <v>2.35E-2</v>
      </c>
      <c r="H513" s="20">
        <v>250</v>
      </c>
      <c r="I513" s="20">
        <v>2000</v>
      </c>
    </row>
    <row r="514" spans="1:9" x14ac:dyDescent="0.3">
      <c r="A514" t="s">
        <v>129</v>
      </c>
      <c r="B514" t="s">
        <v>24</v>
      </c>
      <c r="C514" t="s">
        <v>16</v>
      </c>
      <c r="D514" t="s">
        <v>6</v>
      </c>
      <c r="E514" t="s">
        <v>9</v>
      </c>
      <c r="F514" s="20">
        <v>48</v>
      </c>
      <c r="G514" s="12">
        <v>2.4E-2</v>
      </c>
      <c r="H514" s="20">
        <v>890</v>
      </c>
      <c r="I514" s="20">
        <v>2000</v>
      </c>
    </row>
    <row r="515" spans="1:9" x14ac:dyDescent="0.3">
      <c r="D515" t="s">
        <v>232</v>
      </c>
      <c r="F515" s="20">
        <v>48</v>
      </c>
      <c r="G515" s="12">
        <v>2.4E-2</v>
      </c>
      <c r="H515" s="20">
        <v>890</v>
      </c>
      <c r="I515" s="20">
        <v>2000</v>
      </c>
    </row>
    <row r="516" spans="1:9" x14ac:dyDescent="0.3">
      <c r="C516" t="s">
        <v>241</v>
      </c>
      <c r="F516" s="20">
        <v>48</v>
      </c>
      <c r="G516" s="12">
        <v>2.4E-2</v>
      </c>
      <c r="H516" s="20">
        <v>890</v>
      </c>
      <c r="I516" s="20">
        <v>2000</v>
      </c>
    </row>
    <row r="517" spans="1:9" x14ac:dyDescent="0.3">
      <c r="B517" t="s">
        <v>234</v>
      </c>
      <c r="F517" s="20">
        <v>48</v>
      </c>
      <c r="G517" s="12">
        <v>2.4E-2</v>
      </c>
      <c r="H517" s="20">
        <v>890</v>
      </c>
      <c r="I517" s="20">
        <v>2000</v>
      </c>
    </row>
    <row r="518" spans="1:9" x14ac:dyDescent="0.3">
      <c r="A518" t="s">
        <v>348</v>
      </c>
      <c r="F518" s="20">
        <v>48</v>
      </c>
      <c r="G518" s="12">
        <v>2.4E-2</v>
      </c>
      <c r="H518" s="20">
        <v>890</v>
      </c>
      <c r="I518" s="20">
        <v>2000</v>
      </c>
    </row>
    <row r="519" spans="1:9" x14ac:dyDescent="0.3">
      <c r="A519" t="s">
        <v>130</v>
      </c>
      <c r="B519" t="s">
        <v>25</v>
      </c>
      <c r="C519" t="s">
        <v>17</v>
      </c>
      <c r="D519" t="s">
        <v>6</v>
      </c>
      <c r="E519" t="s">
        <v>8</v>
      </c>
      <c r="F519" s="20">
        <v>49</v>
      </c>
      <c r="G519" s="12">
        <v>2.4500000000000001E-2</v>
      </c>
      <c r="H519" s="20">
        <v>340</v>
      </c>
      <c r="I519" s="20">
        <v>2000</v>
      </c>
    </row>
    <row r="520" spans="1:9" x14ac:dyDescent="0.3">
      <c r="D520" t="s">
        <v>232</v>
      </c>
      <c r="F520" s="20">
        <v>49</v>
      </c>
      <c r="G520" s="12">
        <v>2.4500000000000001E-2</v>
      </c>
      <c r="H520" s="20">
        <v>340</v>
      </c>
      <c r="I520" s="20">
        <v>2000</v>
      </c>
    </row>
    <row r="521" spans="1:9" x14ac:dyDescent="0.3">
      <c r="C521" t="s">
        <v>243</v>
      </c>
      <c r="F521" s="20">
        <v>49</v>
      </c>
      <c r="G521" s="12">
        <v>2.4500000000000001E-2</v>
      </c>
      <c r="H521" s="20">
        <v>340</v>
      </c>
      <c r="I521" s="20">
        <v>2000</v>
      </c>
    </row>
    <row r="522" spans="1:9" x14ac:dyDescent="0.3">
      <c r="B522" t="s">
        <v>237</v>
      </c>
      <c r="F522" s="20">
        <v>49</v>
      </c>
      <c r="G522" s="12">
        <v>2.4500000000000001E-2</v>
      </c>
      <c r="H522" s="20">
        <v>340</v>
      </c>
      <c r="I522" s="20">
        <v>2000</v>
      </c>
    </row>
    <row r="523" spans="1:9" x14ac:dyDescent="0.3">
      <c r="A523" t="s">
        <v>349</v>
      </c>
      <c r="F523" s="20">
        <v>49</v>
      </c>
      <c r="G523" s="12">
        <v>2.4500000000000001E-2</v>
      </c>
      <c r="H523" s="20">
        <v>340</v>
      </c>
      <c r="I523" s="20">
        <v>2000</v>
      </c>
    </row>
    <row r="524" spans="1:9" x14ac:dyDescent="0.3">
      <c r="A524" t="s">
        <v>131</v>
      </c>
      <c r="B524" t="s">
        <v>24</v>
      </c>
      <c r="C524" t="s">
        <v>20</v>
      </c>
      <c r="D524" t="s">
        <v>10</v>
      </c>
      <c r="E524" t="s">
        <v>8</v>
      </c>
      <c r="F524" s="20">
        <v>50</v>
      </c>
      <c r="G524" s="12">
        <v>2.5000000000000001E-2</v>
      </c>
      <c r="H524" s="20">
        <v>275</v>
      </c>
      <c r="I524" s="20">
        <v>2000</v>
      </c>
    </row>
    <row r="525" spans="1:9" x14ac:dyDescent="0.3">
      <c r="D525" t="s">
        <v>269</v>
      </c>
      <c r="F525" s="20">
        <v>50</v>
      </c>
      <c r="G525" s="12">
        <v>2.5000000000000001E-2</v>
      </c>
      <c r="H525" s="20">
        <v>275</v>
      </c>
      <c r="I525" s="20">
        <v>2000</v>
      </c>
    </row>
    <row r="526" spans="1:9" x14ac:dyDescent="0.3">
      <c r="C526" t="s">
        <v>245</v>
      </c>
      <c r="F526" s="20">
        <v>50</v>
      </c>
      <c r="G526" s="12">
        <v>2.5000000000000001E-2</v>
      </c>
      <c r="H526" s="20">
        <v>275</v>
      </c>
      <c r="I526" s="20">
        <v>2000</v>
      </c>
    </row>
    <row r="527" spans="1:9" x14ac:dyDescent="0.3">
      <c r="B527" t="s">
        <v>234</v>
      </c>
      <c r="F527" s="20">
        <v>50</v>
      </c>
      <c r="G527" s="12">
        <v>2.5000000000000001E-2</v>
      </c>
      <c r="H527" s="20">
        <v>275</v>
      </c>
      <c r="I527" s="20">
        <v>2000</v>
      </c>
    </row>
    <row r="528" spans="1:9" x14ac:dyDescent="0.3">
      <c r="A528" t="s">
        <v>350</v>
      </c>
      <c r="F528" s="20">
        <v>50</v>
      </c>
      <c r="G528" s="12">
        <v>2.5000000000000001E-2</v>
      </c>
      <c r="H528" s="20">
        <v>275</v>
      </c>
      <c r="I528" s="20">
        <v>2000</v>
      </c>
    </row>
    <row r="529" spans="1:9" x14ac:dyDescent="0.3">
      <c r="A529" t="s">
        <v>132</v>
      </c>
      <c r="B529" t="s">
        <v>25</v>
      </c>
      <c r="C529" t="s">
        <v>18</v>
      </c>
      <c r="D529" t="s">
        <v>10</v>
      </c>
      <c r="E529" t="s">
        <v>7</v>
      </c>
      <c r="F529" s="20">
        <v>51</v>
      </c>
      <c r="G529" s="12">
        <v>2.5499999999999998E-2</v>
      </c>
      <c r="H529" s="20">
        <v>600</v>
      </c>
      <c r="I529" s="20">
        <v>2000</v>
      </c>
    </row>
    <row r="530" spans="1:9" x14ac:dyDescent="0.3">
      <c r="D530" t="s">
        <v>269</v>
      </c>
      <c r="F530" s="20">
        <v>51</v>
      </c>
      <c r="G530" s="12">
        <v>2.5499999999999998E-2</v>
      </c>
      <c r="H530" s="20">
        <v>600</v>
      </c>
      <c r="I530" s="20">
        <v>2000</v>
      </c>
    </row>
    <row r="531" spans="1:9" x14ac:dyDescent="0.3">
      <c r="C531" t="s">
        <v>247</v>
      </c>
      <c r="F531" s="20">
        <v>51</v>
      </c>
      <c r="G531" s="12">
        <v>2.5499999999999998E-2</v>
      </c>
      <c r="H531" s="20">
        <v>600</v>
      </c>
      <c r="I531" s="20">
        <v>2000</v>
      </c>
    </row>
    <row r="532" spans="1:9" x14ac:dyDescent="0.3">
      <c r="B532" t="s">
        <v>237</v>
      </c>
      <c r="F532" s="20">
        <v>51</v>
      </c>
      <c r="G532" s="12">
        <v>2.5499999999999998E-2</v>
      </c>
      <c r="H532" s="20">
        <v>600</v>
      </c>
      <c r="I532" s="20">
        <v>2000</v>
      </c>
    </row>
    <row r="533" spans="1:9" x14ac:dyDescent="0.3">
      <c r="A533" t="s">
        <v>351</v>
      </c>
      <c r="F533" s="20">
        <v>51</v>
      </c>
      <c r="G533" s="12">
        <v>2.5499999999999998E-2</v>
      </c>
      <c r="H533" s="20">
        <v>600</v>
      </c>
      <c r="I533" s="20">
        <v>2000</v>
      </c>
    </row>
    <row r="534" spans="1:9" x14ac:dyDescent="0.3">
      <c r="A534" t="s">
        <v>133</v>
      </c>
      <c r="B534" t="s">
        <v>24</v>
      </c>
      <c r="C534" t="s">
        <v>19</v>
      </c>
      <c r="D534" t="s">
        <v>10</v>
      </c>
      <c r="E534" t="s">
        <v>8</v>
      </c>
      <c r="F534" s="20">
        <v>52</v>
      </c>
      <c r="G534" s="12">
        <v>2.5999999999999999E-2</v>
      </c>
      <c r="H534" s="20">
        <v>115</v>
      </c>
      <c r="I534" s="20">
        <v>2000</v>
      </c>
    </row>
    <row r="535" spans="1:9" x14ac:dyDescent="0.3">
      <c r="D535" t="s">
        <v>269</v>
      </c>
      <c r="F535" s="20">
        <v>52</v>
      </c>
      <c r="G535" s="12">
        <v>2.5999999999999999E-2</v>
      </c>
      <c r="H535" s="20">
        <v>115</v>
      </c>
      <c r="I535" s="20">
        <v>2000</v>
      </c>
    </row>
    <row r="536" spans="1:9" x14ac:dyDescent="0.3">
      <c r="C536" t="s">
        <v>249</v>
      </c>
      <c r="F536" s="20">
        <v>52</v>
      </c>
      <c r="G536" s="12">
        <v>2.5999999999999999E-2</v>
      </c>
      <c r="H536" s="20">
        <v>115</v>
      </c>
      <c r="I536" s="20">
        <v>2000</v>
      </c>
    </row>
    <row r="537" spans="1:9" x14ac:dyDescent="0.3">
      <c r="B537" t="s">
        <v>234</v>
      </c>
      <c r="F537" s="20">
        <v>52</v>
      </c>
      <c r="G537" s="12">
        <v>2.5999999999999999E-2</v>
      </c>
      <c r="H537" s="20">
        <v>115</v>
      </c>
      <c r="I537" s="20">
        <v>2000</v>
      </c>
    </row>
    <row r="538" spans="1:9" x14ac:dyDescent="0.3">
      <c r="A538" t="s">
        <v>352</v>
      </c>
      <c r="F538" s="20">
        <v>52</v>
      </c>
      <c r="G538" s="12">
        <v>2.5999999999999999E-2</v>
      </c>
      <c r="H538" s="20">
        <v>115</v>
      </c>
      <c r="I538" s="20">
        <v>2000</v>
      </c>
    </row>
    <row r="539" spans="1:9" x14ac:dyDescent="0.3">
      <c r="A539" t="s">
        <v>134</v>
      </c>
      <c r="B539" t="s">
        <v>25</v>
      </c>
      <c r="C539" t="s">
        <v>21</v>
      </c>
      <c r="D539" t="s">
        <v>10</v>
      </c>
      <c r="E539" t="s">
        <v>9</v>
      </c>
      <c r="F539" s="20">
        <v>53</v>
      </c>
      <c r="G539" s="12">
        <v>2.6499999999999999E-2</v>
      </c>
      <c r="H539" s="20">
        <v>920</v>
      </c>
      <c r="I539" s="20">
        <v>2000</v>
      </c>
    </row>
    <row r="540" spans="1:9" x14ac:dyDescent="0.3">
      <c r="D540" t="s">
        <v>269</v>
      </c>
      <c r="F540" s="20">
        <v>53</v>
      </c>
      <c r="G540" s="12">
        <v>2.6499999999999999E-2</v>
      </c>
      <c r="H540" s="20">
        <v>920</v>
      </c>
      <c r="I540" s="20">
        <v>2000</v>
      </c>
    </row>
    <row r="541" spans="1:9" x14ac:dyDescent="0.3">
      <c r="C541" t="s">
        <v>251</v>
      </c>
      <c r="F541" s="20">
        <v>53</v>
      </c>
      <c r="G541" s="12">
        <v>2.6499999999999999E-2</v>
      </c>
      <c r="H541" s="20">
        <v>920</v>
      </c>
      <c r="I541" s="20">
        <v>2000</v>
      </c>
    </row>
    <row r="542" spans="1:9" x14ac:dyDescent="0.3">
      <c r="B542" t="s">
        <v>237</v>
      </c>
      <c r="F542" s="20">
        <v>53</v>
      </c>
      <c r="G542" s="12">
        <v>2.6499999999999999E-2</v>
      </c>
      <c r="H542" s="20">
        <v>920</v>
      </c>
      <c r="I542" s="20">
        <v>2000</v>
      </c>
    </row>
    <row r="543" spans="1:9" x14ac:dyDescent="0.3">
      <c r="A543" t="s">
        <v>353</v>
      </c>
      <c r="F543" s="20">
        <v>53</v>
      </c>
      <c r="G543" s="12">
        <v>2.6499999999999999E-2</v>
      </c>
      <c r="H543" s="20">
        <v>920</v>
      </c>
      <c r="I543" s="20">
        <v>2000</v>
      </c>
    </row>
    <row r="544" spans="1:9" x14ac:dyDescent="0.3">
      <c r="A544" t="s">
        <v>135</v>
      </c>
      <c r="B544" t="s">
        <v>24</v>
      </c>
      <c r="C544" t="s">
        <v>13</v>
      </c>
      <c r="D544" t="s">
        <v>10</v>
      </c>
      <c r="E544" t="s">
        <v>8</v>
      </c>
      <c r="F544" s="20">
        <v>54</v>
      </c>
      <c r="G544" s="12">
        <v>2.7E-2</v>
      </c>
      <c r="H544" s="20">
        <v>190</v>
      </c>
      <c r="I544" s="20">
        <v>2000</v>
      </c>
    </row>
    <row r="545" spans="1:9" x14ac:dyDescent="0.3">
      <c r="D545" t="s">
        <v>269</v>
      </c>
      <c r="F545" s="20">
        <v>54</v>
      </c>
      <c r="G545" s="12">
        <v>2.7E-2</v>
      </c>
      <c r="H545" s="20">
        <v>190</v>
      </c>
      <c r="I545" s="20">
        <v>2000</v>
      </c>
    </row>
    <row r="546" spans="1:9" x14ac:dyDescent="0.3">
      <c r="C546" t="s">
        <v>233</v>
      </c>
      <c r="F546" s="20">
        <v>54</v>
      </c>
      <c r="G546" s="12">
        <v>2.7E-2</v>
      </c>
      <c r="H546" s="20">
        <v>190</v>
      </c>
      <c r="I546" s="20">
        <v>2000</v>
      </c>
    </row>
    <row r="547" spans="1:9" x14ac:dyDescent="0.3">
      <c r="B547" t="s">
        <v>234</v>
      </c>
      <c r="F547" s="20">
        <v>54</v>
      </c>
      <c r="G547" s="12">
        <v>2.7E-2</v>
      </c>
      <c r="H547" s="20">
        <v>190</v>
      </c>
      <c r="I547" s="20">
        <v>2000</v>
      </c>
    </row>
    <row r="548" spans="1:9" x14ac:dyDescent="0.3">
      <c r="A548" t="s">
        <v>354</v>
      </c>
      <c r="F548" s="20">
        <v>54</v>
      </c>
      <c r="G548" s="12">
        <v>2.7E-2</v>
      </c>
      <c r="H548" s="20">
        <v>190</v>
      </c>
      <c r="I548" s="20">
        <v>2000</v>
      </c>
    </row>
    <row r="549" spans="1:9" x14ac:dyDescent="0.3">
      <c r="A549" t="s">
        <v>136</v>
      </c>
      <c r="B549" t="s">
        <v>25</v>
      </c>
      <c r="C549" t="s">
        <v>14</v>
      </c>
      <c r="D549" t="s">
        <v>10</v>
      </c>
      <c r="E549" t="s">
        <v>8</v>
      </c>
      <c r="F549" s="20">
        <v>55</v>
      </c>
      <c r="G549" s="12">
        <v>2.75E-2</v>
      </c>
      <c r="H549" s="20">
        <v>290</v>
      </c>
      <c r="I549" s="20">
        <v>2000</v>
      </c>
    </row>
    <row r="550" spans="1:9" x14ac:dyDescent="0.3">
      <c r="D550" t="s">
        <v>269</v>
      </c>
      <c r="F550" s="20">
        <v>55</v>
      </c>
      <c r="G550" s="12">
        <v>2.75E-2</v>
      </c>
      <c r="H550" s="20">
        <v>290</v>
      </c>
      <c r="I550" s="20">
        <v>2000</v>
      </c>
    </row>
    <row r="551" spans="1:9" x14ac:dyDescent="0.3">
      <c r="C551" t="s">
        <v>236</v>
      </c>
      <c r="F551" s="20">
        <v>55</v>
      </c>
      <c r="G551" s="12">
        <v>2.75E-2</v>
      </c>
      <c r="H551" s="20">
        <v>290</v>
      </c>
      <c r="I551" s="20">
        <v>2000</v>
      </c>
    </row>
    <row r="552" spans="1:9" x14ac:dyDescent="0.3">
      <c r="B552" t="s">
        <v>237</v>
      </c>
      <c r="F552" s="20">
        <v>55</v>
      </c>
      <c r="G552" s="12">
        <v>2.75E-2</v>
      </c>
      <c r="H552" s="20">
        <v>290</v>
      </c>
      <c r="I552" s="20">
        <v>2000</v>
      </c>
    </row>
    <row r="553" spans="1:9" x14ac:dyDescent="0.3">
      <c r="A553" t="s">
        <v>355</v>
      </c>
      <c r="F553" s="20">
        <v>55</v>
      </c>
      <c r="G553" s="12">
        <v>2.75E-2</v>
      </c>
      <c r="H553" s="20">
        <v>290</v>
      </c>
      <c r="I553" s="20">
        <v>2000</v>
      </c>
    </row>
    <row r="554" spans="1:9" x14ac:dyDescent="0.3">
      <c r="A554" t="s">
        <v>137</v>
      </c>
      <c r="B554" t="s">
        <v>24</v>
      </c>
      <c r="C554" t="s">
        <v>15</v>
      </c>
      <c r="D554" t="s">
        <v>10</v>
      </c>
      <c r="E554" t="s">
        <v>7</v>
      </c>
      <c r="F554" s="20">
        <v>56</v>
      </c>
      <c r="G554" s="12">
        <v>2.8000000000000001E-2</v>
      </c>
      <c r="H554" s="20">
        <v>610</v>
      </c>
      <c r="I554" s="20">
        <v>2000</v>
      </c>
    </row>
    <row r="555" spans="1:9" x14ac:dyDescent="0.3">
      <c r="D555" t="s">
        <v>269</v>
      </c>
      <c r="F555" s="20">
        <v>56</v>
      </c>
      <c r="G555" s="12">
        <v>2.8000000000000001E-2</v>
      </c>
      <c r="H555" s="20">
        <v>610</v>
      </c>
      <c r="I555" s="20">
        <v>2000</v>
      </c>
    </row>
    <row r="556" spans="1:9" x14ac:dyDescent="0.3">
      <c r="C556" t="s">
        <v>239</v>
      </c>
      <c r="F556" s="20">
        <v>56</v>
      </c>
      <c r="G556" s="12">
        <v>2.8000000000000001E-2</v>
      </c>
      <c r="H556" s="20">
        <v>610</v>
      </c>
      <c r="I556" s="20">
        <v>2000</v>
      </c>
    </row>
    <row r="557" spans="1:9" x14ac:dyDescent="0.3">
      <c r="B557" t="s">
        <v>234</v>
      </c>
      <c r="F557" s="20">
        <v>56</v>
      </c>
      <c r="G557" s="12">
        <v>2.8000000000000001E-2</v>
      </c>
      <c r="H557" s="20">
        <v>610</v>
      </c>
      <c r="I557" s="20">
        <v>2000</v>
      </c>
    </row>
    <row r="558" spans="1:9" x14ac:dyDescent="0.3">
      <c r="A558" t="s">
        <v>356</v>
      </c>
      <c r="F558" s="20">
        <v>56</v>
      </c>
      <c r="G558" s="12">
        <v>2.8000000000000001E-2</v>
      </c>
      <c r="H558" s="20">
        <v>610</v>
      </c>
      <c r="I558" s="20">
        <v>2000</v>
      </c>
    </row>
    <row r="559" spans="1:9" x14ac:dyDescent="0.3">
      <c r="A559" t="s">
        <v>138</v>
      </c>
      <c r="B559" t="s">
        <v>25</v>
      </c>
      <c r="C559" t="s">
        <v>16</v>
      </c>
      <c r="D559" t="s">
        <v>10</v>
      </c>
      <c r="E559" t="s">
        <v>8</v>
      </c>
      <c r="F559" s="20">
        <v>57</v>
      </c>
      <c r="G559" s="12">
        <v>2.8500000000000001E-2</v>
      </c>
      <c r="H559" s="20">
        <v>120</v>
      </c>
      <c r="I559" s="20">
        <v>2000</v>
      </c>
    </row>
    <row r="560" spans="1:9" x14ac:dyDescent="0.3">
      <c r="D560" t="s">
        <v>269</v>
      </c>
      <c r="F560" s="20">
        <v>57</v>
      </c>
      <c r="G560" s="12">
        <v>2.8500000000000001E-2</v>
      </c>
      <c r="H560" s="20">
        <v>120</v>
      </c>
      <c r="I560" s="20">
        <v>2000</v>
      </c>
    </row>
    <row r="561" spans="1:9" x14ac:dyDescent="0.3">
      <c r="C561" t="s">
        <v>241</v>
      </c>
      <c r="F561" s="20">
        <v>57</v>
      </c>
      <c r="G561" s="12">
        <v>2.8500000000000001E-2</v>
      </c>
      <c r="H561" s="20">
        <v>120</v>
      </c>
      <c r="I561" s="20">
        <v>2000</v>
      </c>
    </row>
    <row r="562" spans="1:9" x14ac:dyDescent="0.3">
      <c r="B562" t="s">
        <v>237</v>
      </c>
      <c r="F562" s="20">
        <v>57</v>
      </c>
      <c r="G562" s="12">
        <v>2.8500000000000001E-2</v>
      </c>
      <c r="H562" s="20">
        <v>120</v>
      </c>
      <c r="I562" s="20">
        <v>2000</v>
      </c>
    </row>
    <row r="563" spans="1:9" x14ac:dyDescent="0.3">
      <c r="A563" t="s">
        <v>357</v>
      </c>
      <c r="F563" s="20">
        <v>57</v>
      </c>
      <c r="G563" s="12">
        <v>2.8500000000000001E-2</v>
      </c>
      <c r="H563" s="20">
        <v>120</v>
      </c>
      <c r="I563" s="20">
        <v>2000</v>
      </c>
    </row>
    <row r="564" spans="1:9" x14ac:dyDescent="0.3">
      <c r="A564" t="s">
        <v>139</v>
      </c>
      <c r="B564" t="s">
        <v>24</v>
      </c>
      <c r="C564" t="s">
        <v>17</v>
      </c>
      <c r="D564" t="s">
        <v>10</v>
      </c>
      <c r="E564" t="s">
        <v>8</v>
      </c>
      <c r="F564" s="20">
        <v>58</v>
      </c>
      <c r="G564" s="12">
        <v>2.9000000000000001E-2</v>
      </c>
      <c r="H564" s="20">
        <v>480</v>
      </c>
      <c r="I564" s="20">
        <v>2000</v>
      </c>
    </row>
    <row r="565" spans="1:9" x14ac:dyDescent="0.3">
      <c r="D565" t="s">
        <v>269</v>
      </c>
      <c r="F565" s="20">
        <v>58</v>
      </c>
      <c r="G565" s="12">
        <v>2.9000000000000001E-2</v>
      </c>
      <c r="H565" s="20">
        <v>480</v>
      </c>
      <c r="I565" s="20">
        <v>2000</v>
      </c>
    </row>
    <row r="566" spans="1:9" x14ac:dyDescent="0.3">
      <c r="C566" t="s">
        <v>243</v>
      </c>
      <c r="F566" s="20">
        <v>58</v>
      </c>
      <c r="G566" s="12">
        <v>2.9000000000000001E-2</v>
      </c>
      <c r="H566" s="20">
        <v>480</v>
      </c>
      <c r="I566" s="20">
        <v>2000</v>
      </c>
    </row>
    <row r="567" spans="1:9" x14ac:dyDescent="0.3">
      <c r="B567" t="s">
        <v>234</v>
      </c>
      <c r="F567" s="20">
        <v>58</v>
      </c>
      <c r="G567" s="12">
        <v>2.9000000000000001E-2</v>
      </c>
      <c r="H567" s="20">
        <v>480</v>
      </c>
      <c r="I567" s="20">
        <v>2000</v>
      </c>
    </row>
    <row r="568" spans="1:9" x14ac:dyDescent="0.3">
      <c r="A568" t="s">
        <v>358</v>
      </c>
      <c r="F568" s="20">
        <v>58</v>
      </c>
      <c r="G568" s="12">
        <v>2.9000000000000001E-2</v>
      </c>
      <c r="H568" s="20">
        <v>480</v>
      </c>
      <c r="I568" s="20">
        <v>2000</v>
      </c>
    </row>
    <row r="569" spans="1:9" x14ac:dyDescent="0.3">
      <c r="A569" t="s">
        <v>140</v>
      </c>
      <c r="B569" t="s">
        <v>25</v>
      </c>
      <c r="C569" t="s">
        <v>20</v>
      </c>
      <c r="D569" t="s">
        <v>10</v>
      </c>
      <c r="E569" t="s">
        <v>8</v>
      </c>
      <c r="F569" s="20">
        <v>59</v>
      </c>
      <c r="G569" s="12">
        <v>2.9499999999999998E-2</v>
      </c>
      <c r="H569" s="20">
        <v>150</v>
      </c>
      <c r="I569" s="20">
        <v>2000</v>
      </c>
    </row>
    <row r="570" spans="1:9" x14ac:dyDescent="0.3">
      <c r="D570" t="s">
        <v>269</v>
      </c>
      <c r="F570" s="20">
        <v>59</v>
      </c>
      <c r="G570" s="12">
        <v>2.9499999999999998E-2</v>
      </c>
      <c r="H570" s="20">
        <v>150</v>
      </c>
      <c r="I570" s="20">
        <v>2000</v>
      </c>
    </row>
    <row r="571" spans="1:9" x14ac:dyDescent="0.3">
      <c r="C571" t="s">
        <v>245</v>
      </c>
      <c r="F571" s="20">
        <v>59</v>
      </c>
      <c r="G571" s="12">
        <v>2.9499999999999998E-2</v>
      </c>
      <c r="H571" s="20">
        <v>150</v>
      </c>
      <c r="I571" s="20">
        <v>2000</v>
      </c>
    </row>
    <row r="572" spans="1:9" x14ac:dyDescent="0.3">
      <c r="B572" t="s">
        <v>237</v>
      </c>
      <c r="F572" s="20">
        <v>59</v>
      </c>
      <c r="G572" s="12">
        <v>2.9499999999999998E-2</v>
      </c>
      <c r="H572" s="20">
        <v>150</v>
      </c>
      <c r="I572" s="20">
        <v>2000</v>
      </c>
    </row>
    <row r="573" spans="1:9" x14ac:dyDescent="0.3">
      <c r="A573" t="s">
        <v>359</v>
      </c>
      <c r="F573" s="20">
        <v>59</v>
      </c>
      <c r="G573" s="12">
        <v>2.9499999999999998E-2</v>
      </c>
      <c r="H573" s="20">
        <v>150</v>
      </c>
      <c r="I573" s="20">
        <v>2000</v>
      </c>
    </row>
    <row r="574" spans="1:9" x14ac:dyDescent="0.3">
      <c r="A574" t="s">
        <v>141</v>
      </c>
      <c r="B574" t="s">
        <v>24</v>
      </c>
      <c r="C574" t="s">
        <v>18</v>
      </c>
      <c r="D574" t="s">
        <v>10</v>
      </c>
      <c r="E574" t="s">
        <v>9</v>
      </c>
      <c r="F574" s="20">
        <v>60</v>
      </c>
      <c r="G574" s="12">
        <v>0.03</v>
      </c>
      <c r="H574" s="20">
        <v>720</v>
      </c>
      <c r="I574" s="20">
        <v>2000</v>
      </c>
    </row>
    <row r="575" spans="1:9" x14ac:dyDescent="0.3">
      <c r="D575" t="s">
        <v>269</v>
      </c>
      <c r="F575" s="20">
        <v>60</v>
      </c>
      <c r="G575" s="12">
        <v>0.03</v>
      </c>
      <c r="H575" s="20">
        <v>720</v>
      </c>
      <c r="I575" s="20">
        <v>2000</v>
      </c>
    </row>
    <row r="576" spans="1:9" x14ac:dyDescent="0.3">
      <c r="C576" t="s">
        <v>247</v>
      </c>
      <c r="F576" s="20">
        <v>60</v>
      </c>
      <c r="G576" s="12">
        <v>0.03</v>
      </c>
      <c r="H576" s="20">
        <v>720</v>
      </c>
      <c r="I576" s="20">
        <v>2000</v>
      </c>
    </row>
    <row r="577" spans="1:9" x14ac:dyDescent="0.3">
      <c r="B577" t="s">
        <v>234</v>
      </c>
      <c r="F577" s="20">
        <v>60</v>
      </c>
      <c r="G577" s="12">
        <v>0.03</v>
      </c>
      <c r="H577" s="20">
        <v>720</v>
      </c>
      <c r="I577" s="20">
        <v>2000</v>
      </c>
    </row>
    <row r="578" spans="1:9" x14ac:dyDescent="0.3">
      <c r="A578" t="s">
        <v>360</v>
      </c>
      <c r="F578" s="20">
        <v>60</v>
      </c>
      <c r="G578" s="12">
        <v>0.03</v>
      </c>
      <c r="H578" s="20">
        <v>720</v>
      </c>
      <c r="I578" s="20">
        <v>2000</v>
      </c>
    </row>
    <row r="579" spans="1:9" x14ac:dyDescent="0.3">
      <c r="A579" t="s">
        <v>142</v>
      </c>
      <c r="B579" t="s">
        <v>25</v>
      </c>
      <c r="C579" t="s">
        <v>19</v>
      </c>
      <c r="D579" t="s">
        <v>10</v>
      </c>
      <c r="E579" t="s">
        <v>9</v>
      </c>
      <c r="F579" s="20">
        <v>61</v>
      </c>
      <c r="G579" s="12">
        <v>3.0499999999999999E-2</v>
      </c>
      <c r="H579" s="20">
        <v>880</v>
      </c>
      <c r="I579" s="20">
        <v>2000</v>
      </c>
    </row>
    <row r="580" spans="1:9" x14ac:dyDescent="0.3">
      <c r="D580" t="s">
        <v>269</v>
      </c>
      <c r="F580" s="20">
        <v>61</v>
      </c>
      <c r="G580" s="12">
        <v>3.0499999999999999E-2</v>
      </c>
      <c r="H580" s="20">
        <v>880</v>
      </c>
      <c r="I580" s="20">
        <v>2000</v>
      </c>
    </row>
    <row r="581" spans="1:9" x14ac:dyDescent="0.3">
      <c r="C581" t="s">
        <v>249</v>
      </c>
      <c r="F581" s="20">
        <v>61</v>
      </c>
      <c r="G581" s="12">
        <v>3.0499999999999999E-2</v>
      </c>
      <c r="H581" s="20">
        <v>880</v>
      </c>
      <c r="I581" s="20">
        <v>2000</v>
      </c>
    </row>
    <row r="582" spans="1:9" x14ac:dyDescent="0.3">
      <c r="B582" t="s">
        <v>237</v>
      </c>
      <c r="F582" s="20">
        <v>61</v>
      </c>
      <c r="G582" s="12">
        <v>3.0499999999999999E-2</v>
      </c>
      <c r="H582" s="20">
        <v>880</v>
      </c>
      <c r="I582" s="20">
        <v>2000</v>
      </c>
    </row>
    <row r="583" spans="1:9" x14ac:dyDescent="0.3">
      <c r="A583" t="s">
        <v>361</v>
      </c>
      <c r="F583" s="20">
        <v>61</v>
      </c>
      <c r="G583" s="12">
        <v>3.0499999999999999E-2</v>
      </c>
      <c r="H583" s="20">
        <v>880</v>
      </c>
      <c r="I583" s="20">
        <v>2000</v>
      </c>
    </row>
    <row r="584" spans="1:9" x14ac:dyDescent="0.3">
      <c r="A584" t="s">
        <v>143</v>
      </c>
      <c r="B584" t="s">
        <v>24</v>
      </c>
      <c r="C584" t="s">
        <v>21</v>
      </c>
      <c r="D584" t="s">
        <v>10</v>
      </c>
      <c r="E584" t="s">
        <v>8</v>
      </c>
      <c r="F584" s="20">
        <v>62</v>
      </c>
      <c r="G584" s="12">
        <v>3.1E-2</v>
      </c>
      <c r="H584" s="20">
        <v>105</v>
      </c>
      <c r="I584" s="20">
        <v>2000</v>
      </c>
    </row>
    <row r="585" spans="1:9" x14ac:dyDescent="0.3">
      <c r="D585" t="s">
        <v>269</v>
      </c>
      <c r="F585" s="20">
        <v>62</v>
      </c>
      <c r="G585" s="12">
        <v>3.1E-2</v>
      </c>
      <c r="H585" s="20">
        <v>105</v>
      </c>
      <c r="I585" s="20">
        <v>2000</v>
      </c>
    </row>
    <row r="586" spans="1:9" x14ac:dyDescent="0.3">
      <c r="C586" t="s">
        <v>251</v>
      </c>
      <c r="F586" s="20">
        <v>62</v>
      </c>
      <c r="G586" s="12">
        <v>3.1E-2</v>
      </c>
      <c r="H586" s="20">
        <v>105</v>
      </c>
      <c r="I586" s="20">
        <v>2000</v>
      </c>
    </row>
    <row r="587" spans="1:9" x14ac:dyDescent="0.3">
      <c r="B587" t="s">
        <v>234</v>
      </c>
      <c r="F587" s="20">
        <v>62</v>
      </c>
      <c r="G587" s="12">
        <v>3.1E-2</v>
      </c>
      <c r="H587" s="20">
        <v>105</v>
      </c>
      <c r="I587" s="20">
        <v>2000</v>
      </c>
    </row>
    <row r="588" spans="1:9" x14ac:dyDescent="0.3">
      <c r="A588" t="s">
        <v>362</v>
      </c>
      <c r="F588" s="20">
        <v>62</v>
      </c>
      <c r="G588" s="12">
        <v>3.1E-2</v>
      </c>
      <c r="H588" s="20">
        <v>105</v>
      </c>
      <c r="I588" s="20">
        <v>2000</v>
      </c>
    </row>
    <row r="589" spans="1:9" x14ac:dyDescent="0.3">
      <c r="A589" t="s">
        <v>144</v>
      </c>
      <c r="B589" t="s">
        <v>25</v>
      </c>
      <c r="C589" t="s">
        <v>13</v>
      </c>
      <c r="D589" t="s">
        <v>10</v>
      </c>
      <c r="E589" t="s">
        <v>7</v>
      </c>
      <c r="F589" s="20">
        <v>63</v>
      </c>
      <c r="G589" s="12">
        <v>3.15E-2</v>
      </c>
      <c r="H589" s="20">
        <v>550</v>
      </c>
      <c r="I589" s="20">
        <v>2000</v>
      </c>
    </row>
    <row r="590" spans="1:9" x14ac:dyDescent="0.3">
      <c r="D590" t="s">
        <v>269</v>
      </c>
      <c r="F590" s="20">
        <v>63</v>
      </c>
      <c r="G590" s="12">
        <v>3.15E-2</v>
      </c>
      <c r="H590" s="20">
        <v>550</v>
      </c>
      <c r="I590" s="20">
        <v>2000</v>
      </c>
    </row>
    <row r="591" spans="1:9" x14ac:dyDescent="0.3">
      <c r="C591" t="s">
        <v>233</v>
      </c>
      <c r="F591" s="20">
        <v>63</v>
      </c>
      <c r="G591" s="12">
        <v>3.15E-2</v>
      </c>
      <c r="H591" s="20">
        <v>550</v>
      </c>
      <c r="I591" s="20">
        <v>2000</v>
      </c>
    </row>
    <row r="592" spans="1:9" x14ac:dyDescent="0.3">
      <c r="B592" t="s">
        <v>237</v>
      </c>
      <c r="F592" s="20">
        <v>63</v>
      </c>
      <c r="G592" s="12">
        <v>3.15E-2</v>
      </c>
      <c r="H592" s="20">
        <v>550</v>
      </c>
      <c r="I592" s="20">
        <v>2000</v>
      </c>
    </row>
    <row r="593" spans="1:9" x14ac:dyDescent="0.3">
      <c r="A593" t="s">
        <v>363</v>
      </c>
      <c r="F593" s="20">
        <v>63</v>
      </c>
      <c r="G593" s="12">
        <v>3.15E-2</v>
      </c>
      <c r="H593" s="20">
        <v>550</v>
      </c>
      <c r="I593" s="20">
        <v>2000</v>
      </c>
    </row>
    <row r="594" spans="1:9" x14ac:dyDescent="0.3">
      <c r="A594" t="s">
        <v>145</v>
      </c>
      <c r="B594" t="s">
        <v>24</v>
      </c>
      <c r="C594" t="s">
        <v>14</v>
      </c>
      <c r="D594" t="s">
        <v>10</v>
      </c>
      <c r="E594" t="s">
        <v>8</v>
      </c>
      <c r="F594" s="20">
        <v>64</v>
      </c>
      <c r="G594" s="12">
        <v>3.2000000000000001E-2</v>
      </c>
      <c r="H594" s="20">
        <v>145</v>
      </c>
      <c r="I594" s="20">
        <v>2000</v>
      </c>
    </row>
    <row r="595" spans="1:9" x14ac:dyDescent="0.3">
      <c r="D595" t="s">
        <v>269</v>
      </c>
      <c r="F595" s="20">
        <v>64</v>
      </c>
      <c r="G595" s="12">
        <v>3.2000000000000001E-2</v>
      </c>
      <c r="H595" s="20">
        <v>145</v>
      </c>
      <c r="I595" s="20">
        <v>2000</v>
      </c>
    </row>
    <row r="596" spans="1:9" x14ac:dyDescent="0.3">
      <c r="C596" t="s">
        <v>236</v>
      </c>
      <c r="F596" s="20">
        <v>64</v>
      </c>
      <c r="G596" s="12">
        <v>3.2000000000000001E-2</v>
      </c>
      <c r="H596" s="20">
        <v>145</v>
      </c>
      <c r="I596" s="20">
        <v>2000</v>
      </c>
    </row>
    <row r="597" spans="1:9" x14ac:dyDescent="0.3">
      <c r="B597" t="s">
        <v>234</v>
      </c>
      <c r="F597" s="20">
        <v>64</v>
      </c>
      <c r="G597" s="12">
        <v>3.2000000000000001E-2</v>
      </c>
      <c r="H597" s="20">
        <v>145</v>
      </c>
      <c r="I597" s="20">
        <v>2000</v>
      </c>
    </row>
    <row r="598" spans="1:9" x14ac:dyDescent="0.3">
      <c r="A598" t="s">
        <v>364</v>
      </c>
      <c r="F598" s="20">
        <v>64</v>
      </c>
      <c r="G598" s="12">
        <v>3.2000000000000001E-2</v>
      </c>
      <c r="H598" s="20">
        <v>145</v>
      </c>
      <c r="I598" s="20">
        <v>2000</v>
      </c>
    </row>
    <row r="599" spans="1:9" x14ac:dyDescent="0.3">
      <c r="A599" t="s">
        <v>146</v>
      </c>
      <c r="B599" t="s">
        <v>25</v>
      </c>
      <c r="C599" t="s">
        <v>15</v>
      </c>
      <c r="D599" t="s">
        <v>10</v>
      </c>
      <c r="E599" t="s">
        <v>8</v>
      </c>
      <c r="F599" s="20">
        <v>65</v>
      </c>
      <c r="G599" s="12">
        <v>3.2500000000000001E-2</v>
      </c>
      <c r="H599" s="20">
        <v>300</v>
      </c>
      <c r="I599" s="20">
        <v>2000</v>
      </c>
    </row>
    <row r="600" spans="1:9" x14ac:dyDescent="0.3">
      <c r="D600" t="s">
        <v>269</v>
      </c>
      <c r="F600" s="20">
        <v>65</v>
      </c>
      <c r="G600" s="12">
        <v>3.2500000000000001E-2</v>
      </c>
      <c r="H600" s="20">
        <v>300</v>
      </c>
      <c r="I600" s="20">
        <v>2000</v>
      </c>
    </row>
    <row r="601" spans="1:9" x14ac:dyDescent="0.3">
      <c r="C601" t="s">
        <v>239</v>
      </c>
      <c r="F601" s="20">
        <v>65</v>
      </c>
      <c r="G601" s="12">
        <v>3.2500000000000001E-2</v>
      </c>
      <c r="H601" s="20">
        <v>300</v>
      </c>
      <c r="I601" s="20">
        <v>2000</v>
      </c>
    </row>
    <row r="602" spans="1:9" x14ac:dyDescent="0.3">
      <c r="B602" t="s">
        <v>237</v>
      </c>
      <c r="F602" s="20">
        <v>65</v>
      </c>
      <c r="G602" s="12">
        <v>3.2500000000000001E-2</v>
      </c>
      <c r="H602" s="20">
        <v>300</v>
      </c>
      <c r="I602" s="20">
        <v>2000</v>
      </c>
    </row>
    <row r="603" spans="1:9" x14ac:dyDescent="0.3">
      <c r="A603" t="s">
        <v>365</v>
      </c>
      <c r="F603" s="20">
        <v>65</v>
      </c>
      <c r="G603" s="12">
        <v>3.2500000000000001E-2</v>
      </c>
      <c r="H603" s="20">
        <v>300</v>
      </c>
      <c r="I603" s="20">
        <v>2000</v>
      </c>
    </row>
    <row r="604" spans="1:9" x14ac:dyDescent="0.3">
      <c r="A604" t="s">
        <v>147</v>
      </c>
      <c r="B604" t="s">
        <v>24</v>
      </c>
      <c r="C604" t="s">
        <v>16</v>
      </c>
      <c r="D604" t="s">
        <v>10</v>
      </c>
      <c r="E604" t="s">
        <v>8</v>
      </c>
      <c r="F604" s="20">
        <v>66</v>
      </c>
      <c r="G604" s="12">
        <v>3.3000000000000002E-2</v>
      </c>
      <c r="H604" s="20">
        <v>65</v>
      </c>
      <c r="I604" s="20">
        <v>2000</v>
      </c>
    </row>
    <row r="605" spans="1:9" x14ac:dyDescent="0.3">
      <c r="D605" t="s">
        <v>269</v>
      </c>
      <c r="F605" s="20">
        <v>66</v>
      </c>
      <c r="G605" s="12">
        <v>3.3000000000000002E-2</v>
      </c>
      <c r="H605" s="20">
        <v>65</v>
      </c>
      <c r="I605" s="20">
        <v>2000</v>
      </c>
    </row>
    <row r="606" spans="1:9" x14ac:dyDescent="0.3">
      <c r="C606" t="s">
        <v>241</v>
      </c>
      <c r="F606" s="20">
        <v>66</v>
      </c>
      <c r="G606" s="12">
        <v>3.3000000000000002E-2</v>
      </c>
      <c r="H606" s="20">
        <v>65</v>
      </c>
      <c r="I606" s="20">
        <v>2000</v>
      </c>
    </row>
    <row r="607" spans="1:9" x14ac:dyDescent="0.3">
      <c r="B607" t="s">
        <v>234</v>
      </c>
      <c r="F607" s="20">
        <v>66</v>
      </c>
      <c r="G607" s="12">
        <v>3.3000000000000002E-2</v>
      </c>
      <c r="H607" s="20">
        <v>65</v>
      </c>
      <c r="I607" s="20">
        <v>2000</v>
      </c>
    </row>
    <row r="608" spans="1:9" x14ac:dyDescent="0.3">
      <c r="A608" t="s">
        <v>366</v>
      </c>
      <c r="F608" s="20">
        <v>66</v>
      </c>
      <c r="G608" s="12">
        <v>3.3000000000000002E-2</v>
      </c>
      <c r="H608" s="20">
        <v>65</v>
      </c>
      <c r="I608" s="20">
        <v>2000</v>
      </c>
    </row>
    <row r="609" spans="1:9" x14ac:dyDescent="0.3">
      <c r="A609" t="s">
        <v>148</v>
      </c>
      <c r="B609" t="s">
        <v>25</v>
      </c>
      <c r="C609" t="s">
        <v>17</v>
      </c>
      <c r="D609" t="s">
        <v>10</v>
      </c>
      <c r="E609" t="s">
        <v>9</v>
      </c>
      <c r="F609" s="20">
        <v>67</v>
      </c>
      <c r="G609" s="12">
        <v>3.3500000000000002E-2</v>
      </c>
      <c r="H609" s="20">
        <v>740</v>
      </c>
      <c r="I609" s="20">
        <v>2000</v>
      </c>
    </row>
    <row r="610" spans="1:9" x14ac:dyDescent="0.3">
      <c r="D610" t="s">
        <v>269</v>
      </c>
      <c r="F610" s="20">
        <v>67</v>
      </c>
      <c r="G610" s="12">
        <v>3.3500000000000002E-2</v>
      </c>
      <c r="H610" s="20">
        <v>740</v>
      </c>
      <c r="I610" s="20">
        <v>2000</v>
      </c>
    </row>
    <row r="611" spans="1:9" x14ac:dyDescent="0.3">
      <c r="C611" t="s">
        <v>243</v>
      </c>
      <c r="F611" s="20">
        <v>67</v>
      </c>
      <c r="G611" s="12">
        <v>3.3500000000000002E-2</v>
      </c>
      <c r="H611" s="20">
        <v>740</v>
      </c>
      <c r="I611" s="20">
        <v>2000</v>
      </c>
    </row>
    <row r="612" spans="1:9" x14ac:dyDescent="0.3">
      <c r="B612" t="s">
        <v>237</v>
      </c>
      <c r="F612" s="20">
        <v>67</v>
      </c>
      <c r="G612" s="12">
        <v>3.3500000000000002E-2</v>
      </c>
      <c r="H612" s="20">
        <v>740</v>
      </c>
      <c r="I612" s="20">
        <v>2000</v>
      </c>
    </row>
    <row r="613" spans="1:9" x14ac:dyDescent="0.3">
      <c r="A613" t="s">
        <v>367</v>
      </c>
      <c r="F613" s="20">
        <v>67</v>
      </c>
      <c r="G613" s="12">
        <v>3.3500000000000002E-2</v>
      </c>
      <c r="H613" s="20">
        <v>740</v>
      </c>
      <c r="I613" s="20">
        <v>2000</v>
      </c>
    </row>
    <row r="614" spans="1:9" x14ac:dyDescent="0.3">
      <c r="A614" t="s">
        <v>149</v>
      </c>
      <c r="B614" t="s">
        <v>24</v>
      </c>
      <c r="C614" t="s">
        <v>20</v>
      </c>
      <c r="D614" t="s">
        <v>10</v>
      </c>
      <c r="E614" t="s">
        <v>8</v>
      </c>
      <c r="F614" s="20">
        <v>68</v>
      </c>
      <c r="G614" s="12">
        <v>3.4000000000000002E-2</v>
      </c>
      <c r="H614" s="20">
        <v>210</v>
      </c>
      <c r="I614" s="20">
        <v>2000</v>
      </c>
    </row>
    <row r="615" spans="1:9" x14ac:dyDescent="0.3">
      <c r="D615" t="s">
        <v>269</v>
      </c>
      <c r="F615" s="20">
        <v>68</v>
      </c>
      <c r="G615" s="12">
        <v>3.4000000000000002E-2</v>
      </c>
      <c r="H615" s="20">
        <v>210</v>
      </c>
      <c r="I615" s="20">
        <v>2000</v>
      </c>
    </row>
    <row r="616" spans="1:9" x14ac:dyDescent="0.3">
      <c r="C616" t="s">
        <v>245</v>
      </c>
      <c r="F616" s="20">
        <v>68</v>
      </c>
      <c r="G616" s="12">
        <v>3.4000000000000002E-2</v>
      </c>
      <c r="H616" s="20">
        <v>210</v>
      </c>
      <c r="I616" s="20">
        <v>2000</v>
      </c>
    </row>
    <row r="617" spans="1:9" x14ac:dyDescent="0.3">
      <c r="B617" t="s">
        <v>234</v>
      </c>
      <c r="F617" s="20">
        <v>68</v>
      </c>
      <c r="G617" s="12">
        <v>3.4000000000000002E-2</v>
      </c>
      <c r="H617" s="20">
        <v>210</v>
      </c>
      <c r="I617" s="20">
        <v>2000</v>
      </c>
    </row>
    <row r="618" spans="1:9" x14ac:dyDescent="0.3">
      <c r="A618" t="s">
        <v>368</v>
      </c>
      <c r="F618" s="20">
        <v>68</v>
      </c>
      <c r="G618" s="12">
        <v>3.4000000000000002E-2</v>
      </c>
      <c r="H618" s="20">
        <v>210</v>
      </c>
      <c r="I618" s="20">
        <v>2000</v>
      </c>
    </row>
    <row r="619" spans="1:9" x14ac:dyDescent="0.3">
      <c r="A619" t="s">
        <v>150</v>
      </c>
      <c r="B619" t="s">
        <v>25</v>
      </c>
      <c r="C619" t="s">
        <v>18</v>
      </c>
      <c r="D619" t="s">
        <v>10</v>
      </c>
      <c r="E619" t="s">
        <v>8</v>
      </c>
      <c r="F619" s="20">
        <v>69</v>
      </c>
      <c r="G619" s="12">
        <v>3.4500000000000003E-2</v>
      </c>
      <c r="H619" s="20">
        <v>430</v>
      </c>
      <c r="I619" s="20">
        <v>2000</v>
      </c>
    </row>
    <row r="620" spans="1:9" x14ac:dyDescent="0.3">
      <c r="D620" t="s">
        <v>269</v>
      </c>
      <c r="F620" s="20">
        <v>69</v>
      </c>
      <c r="G620" s="12">
        <v>3.4500000000000003E-2</v>
      </c>
      <c r="H620" s="20">
        <v>430</v>
      </c>
      <c r="I620" s="20">
        <v>2000</v>
      </c>
    </row>
    <row r="621" spans="1:9" x14ac:dyDescent="0.3">
      <c r="C621" t="s">
        <v>247</v>
      </c>
      <c r="F621" s="20">
        <v>69</v>
      </c>
      <c r="G621" s="12">
        <v>3.4500000000000003E-2</v>
      </c>
      <c r="H621" s="20">
        <v>430</v>
      </c>
      <c r="I621" s="20">
        <v>2000</v>
      </c>
    </row>
    <row r="622" spans="1:9" x14ac:dyDescent="0.3">
      <c r="B622" t="s">
        <v>237</v>
      </c>
      <c r="F622" s="20">
        <v>69</v>
      </c>
      <c r="G622" s="12">
        <v>3.4500000000000003E-2</v>
      </c>
      <c r="H622" s="20">
        <v>430</v>
      </c>
      <c r="I622" s="20">
        <v>2000</v>
      </c>
    </row>
    <row r="623" spans="1:9" x14ac:dyDescent="0.3">
      <c r="A623" t="s">
        <v>369</v>
      </c>
      <c r="F623" s="20">
        <v>69</v>
      </c>
      <c r="G623" s="12">
        <v>3.4500000000000003E-2</v>
      </c>
      <c r="H623" s="20">
        <v>430</v>
      </c>
      <c r="I623" s="20">
        <v>2000</v>
      </c>
    </row>
    <row r="624" spans="1:9" x14ac:dyDescent="0.3">
      <c r="A624" t="s">
        <v>151</v>
      </c>
      <c r="B624" t="s">
        <v>24</v>
      </c>
      <c r="C624" t="s">
        <v>19</v>
      </c>
      <c r="D624" t="s">
        <v>6</v>
      </c>
      <c r="E624" t="s">
        <v>8</v>
      </c>
      <c r="F624" s="20">
        <v>38</v>
      </c>
      <c r="G624" s="12">
        <v>1.9E-2</v>
      </c>
      <c r="H624" s="20">
        <v>125</v>
      </c>
      <c r="I624" s="20">
        <v>2000</v>
      </c>
    </row>
    <row r="625" spans="1:9" x14ac:dyDescent="0.3">
      <c r="D625" t="s">
        <v>232</v>
      </c>
      <c r="F625" s="20">
        <v>38</v>
      </c>
      <c r="G625" s="12">
        <v>1.9E-2</v>
      </c>
      <c r="H625" s="20">
        <v>125</v>
      </c>
      <c r="I625" s="20">
        <v>2000</v>
      </c>
    </row>
    <row r="626" spans="1:9" x14ac:dyDescent="0.3">
      <c r="C626" t="s">
        <v>249</v>
      </c>
      <c r="F626" s="20">
        <v>38</v>
      </c>
      <c r="G626" s="12">
        <v>1.9E-2</v>
      </c>
      <c r="H626" s="20">
        <v>125</v>
      </c>
      <c r="I626" s="20">
        <v>2000</v>
      </c>
    </row>
    <row r="627" spans="1:9" x14ac:dyDescent="0.3">
      <c r="B627" t="s">
        <v>234</v>
      </c>
      <c r="F627" s="20">
        <v>38</v>
      </c>
      <c r="G627" s="12">
        <v>1.9E-2</v>
      </c>
      <c r="H627" s="20">
        <v>125</v>
      </c>
      <c r="I627" s="20">
        <v>2000</v>
      </c>
    </row>
    <row r="628" spans="1:9" x14ac:dyDescent="0.3">
      <c r="A628" t="s">
        <v>370</v>
      </c>
      <c r="F628" s="20">
        <v>38</v>
      </c>
      <c r="G628" s="12">
        <v>1.9E-2</v>
      </c>
      <c r="H628" s="20">
        <v>125</v>
      </c>
      <c r="I628" s="20">
        <v>2000</v>
      </c>
    </row>
    <row r="629" spans="1:9" x14ac:dyDescent="0.3">
      <c r="A629" t="s">
        <v>152</v>
      </c>
      <c r="B629" t="s">
        <v>25</v>
      </c>
      <c r="C629" t="s">
        <v>21</v>
      </c>
      <c r="D629" t="s">
        <v>6</v>
      </c>
      <c r="E629" t="s">
        <v>7</v>
      </c>
      <c r="F629" s="20">
        <v>39</v>
      </c>
      <c r="G629" s="12">
        <v>1.95E-2</v>
      </c>
      <c r="H629" s="20">
        <v>680</v>
      </c>
      <c r="I629" s="20">
        <v>2000</v>
      </c>
    </row>
    <row r="630" spans="1:9" x14ac:dyDescent="0.3">
      <c r="D630" t="s">
        <v>232</v>
      </c>
      <c r="F630" s="20">
        <v>39</v>
      </c>
      <c r="G630" s="12">
        <v>1.95E-2</v>
      </c>
      <c r="H630" s="20">
        <v>680</v>
      </c>
      <c r="I630" s="20">
        <v>2000</v>
      </c>
    </row>
    <row r="631" spans="1:9" x14ac:dyDescent="0.3">
      <c r="C631" t="s">
        <v>251</v>
      </c>
      <c r="F631" s="20">
        <v>39</v>
      </c>
      <c r="G631" s="12">
        <v>1.95E-2</v>
      </c>
      <c r="H631" s="20">
        <v>680</v>
      </c>
      <c r="I631" s="20">
        <v>2000</v>
      </c>
    </row>
    <row r="632" spans="1:9" x14ac:dyDescent="0.3">
      <c r="B632" t="s">
        <v>237</v>
      </c>
      <c r="F632" s="20">
        <v>39</v>
      </c>
      <c r="G632" s="12">
        <v>1.95E-2</v>
      </c>
      <c r="H632" s="20">
        <v>680</v>
      </c>
      <c r="I632" s="20">
        <v>2000</v>
      </c>
    </row>
    <row r="633" spans="1:9" x14ac:dyDescent="0.3">
      <c r="A633" t="s">
        <v>371</v>
      </c>
      <c r="F633" s="20">
        <v>39</v>
      </c>
      <c r="G633" s="12">
        <v>1.95E-2</v>
      </c>
      <c r="H633" s="20">
        <v>680</v>
      </c>
      <c r="I633" s="20">
        <v>2000</v>
      </c>
    </row>
    <row r="634" spans="1:9" x14ac:dyDescent="0.3">
      <c r="A634" t="s">
        <v>153</v>
      </c>
      <c r="B634" t="s">
        <v>24</v>
      </c>
      <c r="C634" t="s">
        <v>13</v>
      </c>
      <c r="D634" t="s">
        <v>6</v>
      </c>
      <c r="E634" t="s">
        <v>8</v>
      </c>
      <c r="F634" s="20">
        <v>40</v>
      </c>
      <c r="G634" s="12">
        <v>0.02</v>
      </c>
      <c r="H634" s="20">
        <v>250</v>
      </c>
      <c r="I634" s="20">
        <v>2000</v>
      </c>
    </row>
    <row r="635" spans="1:9" x14ac:dyDescent="0.3">
      <c r="D635" t="s">
        <v>232</v>
      </c>
      <c r="F635" s="20">
        <v>40</v>
      </c>
      <c r="G635" s="12">
        <v>0.02</v>
      </c>
      <c r="H635" s="20">
        <v>250</v>
      </c>
      <c r="I635" s="20">
        <v>2000</v>
      </c>
    </row>
    <row r="636" spans="1:9" x14ac:dyDescent="0.3">
      <c r="C636" t="s">
        <v>233</v>
      </c>
      <c r="F636" s="20">
        <v>40</v>
      </c>
      <c r="G636" s="12">
        <v>0.02</v>
      </c>
      <c r="H636" s="20">
        <v>250</v>
      </c>
      <c r="I636" s="20">
        <v>2000</v>
      </c>
    </row>
    <row r="637" spans="1:9" x14ac:dyDescent="0.3">
      <c r="B637" t="s">
        <v>234</v>
      </c>
      <c r="F637" s="20">
        <v>40</v>
      </c>
      <c r="G637" s="12">
        <v>0.02</v>
      </c>
      <c r="H637" s="20">
        <v>250</v>
      </c>
      <c r="I637" s="20">
        <v>2000</v>
      </c>
    </row>
    <row r="638" spans="1:9" x14ac:dyDescent="0.3">
      <c r="A638" t="s">
        <v>372</v>
      </c>
      <c r="F638" s="20">
        <v>40</v>
      </c>
      <c r="G638" s="12">
        <v>0.02</v>
      </c>
      <c r="H638" s="20">
        <v>250</v>
      </c>
      <c r="I638" s="20">
        <v>2000</v>
      </c>
    </row>
    <row r="639" spans="1:9" x14ac:dyDescent="0.3">
      <c r="A639" t="s">
        <v>154</v>
      </c>
      <c r="B639" t="s">
        <v>25</v>
      </c>
      <c r="C639" t="s">
        <v>14</v>
      </c>
      <c r="D639" t="s">
        <v>6</v>
      </c>
      <c r="E639" t="s">
        <v>9</v>
      </c>
      <c r="F639" s="20">
        <v>41</v>
      </c>
      <c r="G639" s="12">
        <v>2.0500000000000001E-2</v>
      </c>
      <c r="H639" s="20">
        <v>890</v>
      </c>
      <c r="I639" s="20">
        <v>2000</v>
      </c>
    </row>
    <row r="640" spans="1:9" x14ac:dyDescent="0.3">
      <c r="D640" t="s">
        <v>232</v>
      </c>
      <c r="F640" s="20">
        <v>41</v>
      </c>
      <c r="G640" s="12">
        <v>2.0500000000000001E-2</v>
      </c>
      <c r="H640" s="20">
        <v>890</v>
      </c>
      <c r="I640" s="20">
        <v>2000</v>
      </c>
    </row>
    <row r="641" spans="1:9" x14ac:dyDescent="0.3">
      <c r="C641" t="s">
        <v>236</v>
      </c>
      <c r="F641" s="20">
        <v>41</v>
      </c>
      <c r="G641" s="12">
        <v>2.0500000000000001E-2</v>
      </c>
      <c r="H641" s="20">
        <v>890</v>
      </c>
      <c r="I641" s="20">
        <v>2000</v>
      </c>
    </row>
    <row r="642" spans="1:9" x14ac:dyDescent="0.3">
      <c r="B642" t="s">
        <v>237</v>
      </c>
      <c r="F642" s="20">
        <v>41</v>
      </c>
      <c r="G642" s="12">
        <v>2.0500000000000001E-2</v>
      </c>
      <c r="H642" s="20">
        <v>890</v>
      </c>
      <c r="I642" s="20">
        <v>2000</v>
      </c>
    </row>
    <row r="643" spans="1:9" x14ac:dyDescent="0.3">
      <c r="A643" t="s">
        <v>373</v>
      </c>
      <c r="F643" s="20">
        <v>41</v>
      </c>
      <c r="G643" s="12">
        <v>2.0500000000000001E-2</v>
      </c>
      <c r="H643" s="20">
        <v>890</v>
      </c>
      <c r="I643" s="20">
        <v>2000</v>
      </c>
    </row>
    <row r="644" spans="1:9" x14ac:dyDescent="0.3">
      <c r="A644" t="s">
        <v>155</v>
      </c>
      <c r="B644" t="s">
        <v>24</v>
      </c>
      <c r="C644" t="s">
        <v>15</v>
      </c>
      <c r="D644" t="s">
        <v>6</v>
      </c>
      <c r="E644" t="s">
        <v>8</v>
      </c>
      <c r="F644" s="20">
        <v>42</v>
      </c>
      <c r="G644" s="12">
        <v>2.1000000000000001E-2</v>
      </c>
      <c r="H644" s="20">
        <v>340</v>
      </c>
      <c r="I644" s="20">
        <v>2000</v>
      </c>
    </row>
    <row r="645" spans="1:9" x14ac:dyDescent="0.3">
      <c r="D645" t="s">
        <v>232</v>
      </c>
      <c r="F645" s="20">
        <v>42</v>
      </c>
      <c r="G645" s="12">
        <v>2.1000000000000001E-2</v>
      </c>
      <c r="H645" s="20">
        <v>340</v>
      </c>
      <c r="I645" s="20">
        <v>2000</v>
      </c>
    </row>
    <row r="646" spans="1:9" x14ac:dyDescent="0.3">
      <c r="C646" t="s">
        <v>239</v>
      </c>
      <c r="F646" s="20">
        <v>42</v>
      </c>
      <c r="G646" s="12">
        <v>2.1000000000000001E-2</v>
      </c>
      <c r="H646" s="20">
        <v>340</v>
      </c>
      <c r="I646" s="20">
        <v>2000</v>
      </c>
    </row>
    <row r="647" spans="1:9" x14ac:dyDescent="0.3">
      <c r="B647" t="s">
        <v>234</v>
      </c>
      <c r="F647" s="20">
        <v>42</v>
      </c>
      <c r="G647" s="12">
        <v>2.1000000000000001E-2</v>
      </c>
      <c r="H647" s="20">
        <v>340</v>
      </c>
      <c r="I647" s="20">
        <v>2000</v>
      </c>
    </row>
    <row r="648" spans="1:9" x14ac:dyDescent="0.3">
      <c r="A648" t="s">
        <v>374</v>
      </c>
      <c r="F648" s="20">
        <v>42</v>
      </c>
      <c r="G648" s="12">
        <v>2.1000000000000001E-2</v>
      </c>
      <c r="H648" s="20">
        <v>340</v>
      </c>
      <c r="I648" s="20">
        <v>2000</v>
      </c>
    </row>
    <row r="649" spans="1:9" x14ac:dyDescent="0.3">
      <c r="A649" t="s">
        <v>156</v>
      </c>
      <c r="B649" t="s">
        <v>25</v>
      </c>
      <c r="C649" t="s">
        <v>16</v>
      </c>
      <c r="D649" t="s">
        <v>6</v>
      </c>
      <c r="E649" t="s">
        <v>8</v>
      </c>
      <c r="F649" s="20">
        <v>43</v>
      </c>
      <c r="G649" s="12">
        <v>2.1499999999999998E-2</v>
      </c>
      <c r="H649" s="20">
        <v>275</v>
      </c>
      <c r="I649" s="20">
        <v>2000</v>
      </c>
    </row>
    <row r="650" spans="1:9" x14ac:dyDescent="0.3">
      <c r="D650" t="s">
        <v>232</v>
      </c>
      <c r="F650" s="20">
        <v>43</v>
      </c>
      <c r="G650" s="12">
        <v>2.1499999999999998E-2</v>
      </c>
      <c r="H650" s="20">
        <v>275</v>
      </c>
      <c r="I650" s="20">
        <v>2000</v>
      </c>
    </row>
    <row r="651" spans="1:9" x14ac:dyDescent="0.3">
      <c r="C651" t="s">
        <v>241</v>
      </c>
      <c r="F651" s="20">
        <v>43</v>
      </c>
      <c r="G651" s="12">
        <v>2.1499999999999998E-2</v>
      </c>
      <c r="H651" s="20">
        <v>275</v>
      </c>
      <c r="I651" s="20">
        <v>2000</v>
      </c>
    </row>
    <row r="652" spans="1:9" x14ac:dyDescent="0.3">
      <c r="B652" t="s">
        <v>237</v>
      </c>
      <c r="F652" s="20">
        <v>43</v>
      </c>
      <c r="G652" s="12">
        <v>2.1499999999999998E-2</v>
      </c>
      <c r="H652" s="20">
        <v>275</v>
      </c>
      <c r="I652" s="20">
        <v>2000</v>
      </c>
    </row>
    <row r="653" spans="1:9" x14ac:dyDescent="0.3">
      <c r="A653" t="s">
        <v>375</v>
      </c>
      <c r="F653" s="20">
        <v>43</v>
      </c>
      <c r="G653" s="12">
        <v>2.1499999999999998E-2</v>
      </c>
      <c r="H653" s="20">
        <v>275</v>
      </c>
      <c r="I653" s="20">
        <v>2000</v>
      </c>
    </row>
    <row r="654" spans="1:9" x14ac:dyDescent="0.3">
      <c r="A654" t="s">
        <v>157</v>
      </c>
      <c r="B654" t="s">
        <v>24</v>
      </c>
      <c r="C654" t="s">
        <v>17</v>
      </c>
      <c r="D654" t="s">
        <v>6</v>
      </c>
      <c r="E654" t="s">
        <v>7</v>
      </c>
      <c r="F654" s="20">
        <v>44</v>
      </c>
      <c r="G654" s="12">
        <v>2.1999999999999999E-2</v>
      </c>
      <c r="H654" s="20">
        <v>600</v>
      </c>
      <c r="I654" s="20">
        <v>2000</v>
      </c>
    </row>
    <row r="655" spans="1:9" x14ac:dyDescent="0.3">
      <c r="D655" t="s">
        <v>232</v>
      </c>
      <c r="F655" s="20">
        <v>44</v>
      </c>
      <c r="G655" s="12">
        <v>2.1999999999999999E-2</v>
      </c>
      <c r="H655" s="20">
        <v>600</v>
      </c>
      <c r="I655" s="20">
        <v>2000</v>
      </c>
    </row>
    <row r="656" spans="1:9" x14ac:dyDescent="0.3">
      <c r="C656" t="s">
        <v>243</v>
      </c>
      <c r="F656" s="20">
        <v>44</v>
      </c>
      <c r="G656" s="12">
        <v>2.1999999999999999E-2</v>
      </c>
      <c r="H656" s="20">
        <v>600</v>
      </c>
      <c r="I656" s="20">
        <v>2000</v>
      </c>
    </row>
    <row r="657" spans="1:9" x14ac:dyDescent="0.3">
      <c r="B657" t="s">
        <v>234</v>
      </c>
      <c r="F657" s="20">
        <v>44</v>
      </c>
      <c r="G657" s="12">
        <v>2.1999999999999999E-2</v>
      </c>
      <c r="H657" s="20">
        <v>600</v>
      </c>
      <c r="I657" s="20">
        <v>2000</v>
      </c>
    </row>
    <row r="658" spans="1:9" x14ac:dyDescent="0.3">
      <c r="A658" t="s">
        <v>376</v>
      </c>
      <c r="F658" s="20">
        <v>44</v>
      </c>
      <c r="G658" s="12">
        <v>2.1999999999999999E-2</v>
      </c>
      <c r="H658" s="20">
        <v>600</v>
      </c>
      <c r="I658" s="20">
        <v>2000</v>
      </c>
    </row>
    <row r="659" spans="1:9" x14ac:dyDescent="0.3">
      <c r="A659" t="s">
        <v>158</v>
      </c>
      <c r="B659" t="s">
        <v>25</v>
      </c>
      <c r="C659" t="s">
        <v>20</v>
      </c>
      <c r="D659" t="s">
        <v>6</v>
      </c>
      <c r="E659" t="s">
        <v>8</v>
      </c>
      <c r="F659" s="20">
        <v>45</v>
      </c>
      <c r="G659" s="12">
        <v>2.2499999999999999E-2</v>
      </c>
      <c r="H659" s="20">
        <v>115</v>
      </c>
      <c r="I659" s="20">
        <v>2000</v>
      </c>
    </row>
    <row r="660" spans="1:9" x14ac:dyDescent="0.3">
      <c r="D660" t="s">
        <v>232</v>
      </c>
      <c r="F660" s="20">
        <v>45</v>
      </c>
      <c r="G660" s="12">
        <v>2.2499999999999999E-2</v>
      </c>
      <c r="H660" s="20">
        <v>115</v>
      </c>
      <c r="I660" s="20">
        <v>2000</v>
      </c>
    </row>
    <row r="661" spans="1:9" x14ac:dyDescent="0.3">
      <c r="C661" t="s">
        <v>245</v>
      </c>
      <c r="F661" s="20">
        <v>45</v>
      </c>
      <c r="G661" s="12">
        <v>2.2499999999999999E-2</v>
      </c>
      <c r="H661" s="20">
        <v>115</v>
      </c>
      <c r="I661" s="20">
        <v>2000</v>
      </c>
    </row>
    <row r="662" spans="1:9" x14ac:dyDescent="0.3">
      <c r="B662" t="s">
        <v>237</v>
      </c>
      <c r="F662" s="20">
        <v>45</v>
      </c>
      <c r="G662" s="12">
        <v>2.2499999999999999E-2</v>
      </c>
      <c r="H662" s="20">
        <v>115</v>
      </c>
      <c r="I662" s="20">
        <v>2000</v>
      </c>
    </row>
    <row r="663" spans="1:9" x14ac:dyDescent="0.3">
      <c r="A663" t="s">
        <v>377</v>
      </c>
      <c r="F663" s="20">
        <v>45</v>
      </c>
      <c r="G663" s="12">
        <v>2.2499999999999999E-2</v>
      </c>
      <c r="H663" s="20">
        <v>115</v>
      </c>
      <c r="I663" s="20">
        <v>2000</v>
      </c>
    </row>
    <row r="664" spans="1:9" x14ac:dyDescent="0.3">
      <c r="A664" t="s">
        <v>159</v>
      </c>
      <c r="B664" t="s">
        <v>24</v>
      </c>
      <c r="C664" t="s">
        <v>18</v>
      </c>
      <c r="D664" t="s">
        <v>6</v>
      </c>
      <c r="E664" t="s">
        <v>9</v>
      </c>
      <c r="F664" s="20">
        <v>46</v>
      </c>
      <c r="G664" s="12">
        <v>2.3E-2</v>
      </c>
      <c r="H664" s="20">
        <v>920</v>
      </c>
      <c r="I664" s="20">
        <v>2000</v>
      </c>
    </row>
    <row r="665" spans="1:9" x14ac:dyDescent="0.3">
      <c r="D665" t="s">
        <v>232</v>
      </c>
      <c r="F665" s="20">
        <v>46</v>
      </c>
      <c r="G665" s="12">
        <v>2.3E-2</v>
      </c>
      <c r="H665" s="20">
        <v>920</v>
      </c>
      <c r="I665" s="20">
        <v>2000</v>
      </c>
    </row>
    <row r="666" spans="1:9" x14ac:dyDescent="0.3">
      <c r="C666" t="s">
        <v>247</v>
      </c>
      <c r="F666" s="20">
        <v>46</v>
      </c>
      <c r="G666" s="12">
        <v>2.3E-2</v>
      </c>
      <c r="H666" s="20">
        <v>920</v>
      </c>
      <c r="I666" s="20">
        <v>2000</v>
      </c>
    </row>
    <row r="667" spans="1:9" x14ac:dyDescent="0.3">
      <c r="B667" t="s">
        <v>234</v>
      </c>
      <c r="F667" s="20">
        <v>46</v>
      </c>
      <c r="G667" s="12">
        <v>2.3E-2</v>
      </c>
      <c r="H667" s="20">
        <v>920</v>
      </c>
      <c r="I667" s="20">
        <v>2000</v>
      </c>
    </row>
    <row r="668" spans="1:9" x14ac:dyDescent="0.3">
      <c r="A668" t="s">
        <v>378</v>
      </c>
      <c r="F668" s="20">
        <v>46</v>
      </c>
      <c r="G668" s="12">
        <v>2.3E-2</v>
      </c>
      <c r="H668" s="20">
        <v>920</v>
      </c>
      <c r="I668" s="20">
        <v>2000</v>
      </c>
    </row>
    <row r="669" spans="1:9" x14ac:dyDescent="0.3">
      <c r="A669" t="s">
        <v>160</v>
      </c>
      <c r="B669" t="s">
        <v>25</v>
      </c>
      <c r="C669" t="s">
        <v>19</v>
      </c>
      <c r="D669" t="s">
        <v>6</v>
      </c>
      <c r="E669" t="s">
        <v>8</v>
      </c>
      <c r="F669" s="20">
        <v>47</v>
      </c>
      <c r="G669" s="12">
        <v>2.35E-2</v>
      </c>
      <c r="H669" s="20">
        <v>190</v>
      </c>
      <c r="I669" s="20">
        <v>2000</v>
      </c>
    </row>
    <row r="670" spans="1:9" x14ac:dyDescent="0.3">
      <c r="D670" t="s">
        <v>232</v>
      </c>
      <c r="F670" s="20">
        <v>47</v>
      </c>
      <c r="G670" s="12">
        <v>2.35E-2</v>
      </c>
      <c r="H670" s="20">
        <v>190</v>
      </c>
      <c r="I670" s="20">
        <v>2000</v>
      </c>
    </row>
    <row r="671" spans="1:9" x14ac:dyDescent="0.3">
      <c r="C671" t="s">
        <v>249</v>
      </c>
      <c r="F671" s="20">
        <v>47</v>
      </c>
      <c r="G671" s="12">
        <v>2.35E-2</v>
      </c>
      <c r="H671" s="20">
        <v>190</v>
      </c>
      <c r="I671" s="20">
        <v>2000</v>
      </c>
    </row>
    <row r="672" spans="1:9" x14ac:dyDescent="0.3">
      <c r="B672" t="s">
        <v>237</v>
      </c>
      <c r="F672" s="20">
        <v>47</v>
      </c>
      <c r="G672" s="12">
        <v>2.35E-2</v>
      </c>
      <c r="H672" s="20">
        <v>190</v>
      </c>
      <c r="I672" s="20">
        <v>2000</v>
      </c>
    </row>
    <row r="673" spans="1:9" x14ac:dyDescent="0.3">
      <c r="A673" t="s">
        <v>379</v>
      </c>
      <c r="F673" s="20">
        <v>47</v>
      </c>
      <c r="G673" s="12">
        <v>2.35E-2</v>
      </c>
      <c r="H673" s="20">
        <v>190</v>
      </c>
      <c r="I673" s="20">
        <v>2000</v>
      </c>
    </row>
    <row r="674" spans="1:9" x14ac:dyDescent="0.3">
      <c r="A674" t="s">
        <v>161</v>
      </c>
      <c r="B674" t="s">
        <v>24</v>
      </c>
      <c r="C674" t="s">
        <v>21</v>
      </c>
      <c r="D674" t="s">
        <v>6</v>
      </c>
      <c r="E674" t="s">
        <v>8</v>
      </c>
      <c r="F674" s="20">
        <v>48</v>
      </c>
      <c r="G674" s="12">
        <v>2.4E-2</v>
      </c>
      <c r="H674" s="20">
        <v>290</v>
      </c>
      <c r="I674" s="20">
        <v>2000</v>
      </c>
    </row>
    <row r="675" spans="1:9" x14ac:dyDescent="0.3">
      <c r="D675" t="s">
        <v>232</v>
      </c>
      <c r="F675" s="20">
        <v>48</v>
      </c>
      <c r="G675" s="12">
        <v>2.4E-2</v>
      </c>
      <c r="H675" s="20">
        <v>290</v>
      </c>
      <c r="I675" s="20">
        <v>2000</v>
      </c>
    </row>
    <row r="676" spans="1:9" x14ac:dyDescent="0.3">
      <c r="C676" t="s">
        <v>251</v>
      </c>
      <c r="F676" s="20">
        <v>48</v>
      </c>
      <c r="G676" s="12">
        <v>2.4E-2</v>
      </c>
      <c r="H676" s="20">
        <v>290</v>
      </c>
      <c r="I676" s="20">
        <v>2000</v>
      </c>
    </row>
    <row r="677" spans="1:9" x14ac:dyDescent="0.3">
      <c r="B677" t="s">
        <v>234</v>
      </c>
      <c r="F677" s="20">
        <v>48</v>
      </c>
      <c r="G677" s="12">
        <v>2.4E-2</v>
      </c>
      <c r="H677" s="20">
        <v>290</v>
      </c>
      <c r="I677" s="20">
        <v>2000</v>
      </c>
    </row>
    <row r="678" spans="1:9" x14ac:dyDescent="0.3">
      <c r="A678" t="s">
        <v>380</v>
      </c>
      <c r="F678" s="20">
        <v>48</v>
      </c>
      <c r="G678" s="12">
        <v>2.4E-2</v>
      </c>
      <c r="H678" s="20">
        <v>290</v>
      </c>
      <c r="I678" s="20">
        <v>2000</v>
      </c>
    </row>
    <row r="679" spans="1:9" x14ac:dyDescent="0.3">
      <c r="A679" t="s">
        <v>162</v>
      </c>
      <c r="B679" t="s">
        <v>25</v>
      </c>
      <c r="C679" t="s">
        <v>13</v>
      </c>
      <c r="D679" t="s">
        <v>6</v>
      </c>
      <c r="E679" t="s">
        <v>7</v>
      </c>
      <c r="F679" s="20">
        <v>49</v>
      </c>
      <c r="G679" s="12">
        <v>2.4500000000000001E-2</v>
      </c>
      <c r="H679" s="20">
        <v>610</v>
      </c>
      <c r="I679" s="20">
        <v>2000</v>
      </c>
    </row>
    <row r="680" spans="1:9" x14ac:dyDescent="0.3">
      <c r="D680" t="s">
        <v>232</v>
      </c>
      <c r="F680" s="20">
        <v>49</v>
      </c>
      <c r="G680" s="12">
        <v>2.4500000000000001E-2</v>
      </c>
      <c r="H680" s="20">
        <v>610</v>
      </c>
      <c r="I680" s="20">
        <v>2000</v>
      </c>
    </row>
    <row r="681" spans="1:9" x14ac:dyDescent="0.3">
      <c r="C681" t="s">
        <v>233</v>
      </c>
      <c r="F681" s="20">
        <v>49</v>
      </c>
      <c r="G681" s="12">
        <v>2.4500000000000001E-2</v>
      </c>
      <c r="H681" s="20">
        <v>610</v>
      </c>
      <c r="I681" s="20">
        <v>2000</v>
      </c>
    </row>
    <row r="682" spans="1:9" x14ac:dyDescent="0.3">
      <c r="B682" t="s">
        <v>237</v>
      </c>
      <c r="F682" s="20">
        <v>49</v>
      </c>
      <c r="G682" s="12">
        <v>2.4500000000000001E-2</v>
      </c>
      <c r="H682" s="20">
        <v>610</v>
      </c>
      <c r="I682" s="20">
        <v>2000</v>
      </c>
    </row>
    <row r="683" spans="1:9" x14ac:dyDescent="0.3">
      <c r="A683" t="s">
        <v>381</v>
      </c>
      <c r="F683" s="20">
        <v>49</v>
      </c>
      <c r="G683" s="12">
        <v>2.4500000000000001E-2</v>
      </c>
      <c r="H683" s="20">
        <v>610</v>
      </c>
      <c r="I683" s="20">
        <v>2000</v>
      </c>
    </row>
    <row r="684" spans="1:9" x14ac:dyDescent="0.3">
      <c r="A684" t="s">
        <v>163</v>
      </c>
      <c r="B684" t="s">
        <v>24</v>
      </c>
      <c r="C684" t="s">
        <v>14</v>
      </c>
      <c r="D684" t="s">
        <v>10</v>
      </c>
      <c r="E684" t="s">
        <v>8</v>
      </c>
      <c r="F684" s="20">
        <v>50</v>
      </c>
      <c r="G684" s="12">
        <v>2.5000000000000001E-2</v>
      </c>
      <c r="H684" s="20">
        <v>120</v>
      </c>
      <c r="I684" s="20">
        <v>2000</v>
      </c>
    </row>
    <row r="685" spans="1:9" x14ac:dyDescent="0.3">
      <c r="D685" t="s">
        <v>269</v>
      </c>
      <c r="F685" s="20">
        <v>50</v>
      </c>
      <c r="G685" s="12">
        <v>2.5000000000000001E-2</v>
      </c>
      <c r="H685" s="20">
        <v>120</v>
      </c>
      <c r="I685" s="20">
        <v>2000</v>
      </c>
    </row>
    <row r="686" spans="1:9" x14ac:dyDescent="0.3">
      <c r="C686" t="s">
        <v>236</v>
      </c>
      <c r="F686" s="20">
        <v>50</v>
      </c>
      <c r="G686" s="12">
        <v>2.5000000000000001E-2</v>
      </c>
      <c r="H686" s="20">
        <v>120</v>
      </c>
      <c r="I686" s="20">
        <v>2000</v>
      </c>
    </row>
    <row r="687" spans="1:9" x14ac:dyDescent="0.3">
      <c r="B687" t="s">
        <v>234</v>
      </c>
      <c r="F687" s="20">
        <v>50</v>
      </c>
      <c r="G687" s="12">
        <v>2.5000000000000001E-2</v>
      </c>
      <c r="H687" s="20">
        <v>120</v>
      </c>
      <c r="I687" s="20">
        <v>2000</v>
      </c>
    </row>
    <row r="688" spans="1:9" x14ac:dyDescent="0.3">
      <c r="A688" t="s">
        <v>382</v>
      </c>
      <c r="F688" s="20">
        <v>50</v>
      </c>
      <c r="G688" s="12">
        <v>2.5000000000000001E-2</v>
      </c>
      <c r="H688" s="20">
        <v>120</v>
      </c>
      <c r="I688" s="20">
        <v>2000</v>
      </c>
    </row>
    <row r="689" spans="1:9" x14ac:dyDescent="0.3">
      <c r="A689" t="s">
        <v>164</v>
      </c>
      <c r="B689" t="s">
        <v>25</v>
      </c>
      <c r="C689" t="s">
        <v>15</v>
      </c>
      <c r="D689" t="s">
        <v>10</v>
      </c>
      <c r="E689" t="s">
        <v>8</v>
      </c>
      <c r="F689" s="20">
        <v>51</v>
      </c>
      <c r="G689" s="12">
        <v>2.5499999999999998E-2</v>
      </c>
      <c r="H689" s="20">
        <v>480</v>
      </c>
      <c r="I689" s="20">
        <v>2000</v>
      </c>
    </row>
    <row r="690" spans="1:9" x14ac:dyDescent="0.3">
      <c r="D690" t="s">
        <v>269</v>
      </c>
      <c r="F690" s="20">
        <v>51</v>
      </c>
      <c r="G690" s="12">
        <v>2.5499999999999998E-2</v>
      </c>
      <c r="H690" s="20">
        <v>480</v>
      </c>
      <c r="I690" s="20">
        <v>2000</v>
      </c>
    </row>
    <row r="691" spans="1:9" x14ac:dyDescent="0.3">
      <c r="C691" t="s">
        <v>239</v>
      </c>
      <c r="F691" s="20">
        <v>51</v>
      </c>
      <c r="G691" s="12">
        <v>2.5499999999999998E-2</v>
      </c>
      <c r="H691" s="20">
        <v>480</v>
      </c>
      <c r="I691" s="20">
        <v>2000</v>
      </c>
    </row>
    <row r="692" spans="1:9" x14ac:dyDescent="0.3">
      <c r="B692" t="s">
        <v>237</v>
      </c>
      <c r="F692" s="20">
        <v>51</v>
      </c>
      <c r="G692" s="12">
        <v>2.5499999999999998E-2</v>
      </c>
      <c r="H692" s="20">
        <v>480</v>
      </c>
      <c r="I692" s="20">
        <v>2000</v>
      </c>
    </row>
    <row r="693" spans="1:9" x14ac:dyDescent="0.3">
      <c r="A693" t="s">
        <v>383</v>
      </c>
      <c r="F693" s="20">
        <v>51</v>
      </c>
      <c r="G693" s="12">
        <v>2.5499999999999998E-2</v>
      </c>
      <c r="H693" s="20">
        <v>480</v>
      </c>
      <c r="I693" s="20">
        <v>2000</v>
      </c>
    </row>
    <row r="694" spans="1:9" x14ac:dyDescent="0.3">
      <c r="A694" t="s">
        <v>165</v>
      </c>
      <c r="B694" t="s">
        <v>24</v>
      </c>
      <c r="C694" t="s">
        <v>16</v>
      </c>
      <c r="D694" t="s">
        <v>10</v>
      </c>
      <c r="E694" t="s">
        <v>8</v>
      </c>
      <c r="F694" s="20">
        <v>52</v>
      </c>
      <c r="G694" s="12">
        <v>2.5999999999999999E-2</v>
      </c>
      <c r="H694" s="20">
        <v>150</v>
      </c>
      <c r="I694" s="20">
        <v>2000</v>
      </c>
    </row>
    <row r="695" spans="1:9" x14ac:dyDescent="0.3">
      <c r="D695" t="s">
        <v>269</v>
      </c>
      <c r="F695" s="20">
        <v>52</v>
      </c>
      <c r="G695" s="12">
        <v>2.5999999999999999E-2</v>
      </c>
      <c r="H695" s="20">
        <v>150</v>
      </c>
      <c r="I695" s="20">
        <v>2000</v>
      </c>
    </row>
    <row r="696" spans="1:9" x14ac:dyDescent="0.3">
      <c r="C696" t="s">
        <v>241</v>
      </c>
      <c r="F696" s="20">
        <v>52</v>
      </c>
      <c r="G696" s="12">
        <v>2.5999999999999999E-2</v>
      </c>
      <c r="H696" s="20">
        <v>150</v>
      </c>
      <c r="I696" s="20">
        <v>2000</v>
      </c>
    </row>
    <row r="697" spans="1:9" x14ac:dyDescent="0.3">
      <c r="B697" t="s">
        <v>234</v>
      </c>
      <c r="F697" s="20">
        <v>52</v>
      </c>
      <c r="G697" s="12">
        <v>2.5999999999999999E-2</v>
      </c>
      <c r="H697" s="20">
        <v>150</v>
      </c>
      <c r="I697" s="20">
        <v>2000</v>
      </c>
    </row>
    <row r="698" spans="1:9" x14ac:dyDescent="0.3">
      <c r="A698" t="s">
        <v>384</v>
      </c>
      <c r="F698" s="20">
        <v>52</v>
      </c>
      <c r="G698" s="12">
        <v>2.5999999999999999E-2</v>
      </c>
      <c r="H698" s="20">
        <v>150</v>
      </c>
      <c r="I698" s="20">
        <v>2000</v>
      </c>
    </row>
    <row r="699" spans="1:9" x14ac:dyDescent="0.3">
      <c r="A699" t="s">
        <v>166</v>
      </c>
      <c r="B699" t="s">
        <v>25</v>
      </c>
      <c r="C699" t="s">
        <v>17</v>
      </c>
      <c r="D699" t="s">
        <v>10</v>
      </c>
      <c r="E699" t="s">
        <v>9</v>
      </c>
      <c r="F699" s="20">
        <v>53</v>
      </c>
      <c r="G699" s="12">
        <v>2.6499999999999999E-2</v>
      </c>
      <c r="H699" s="20">
        <v>720</v>
      </c>
      <c r="I699" s="20">
        <v>2000</v>
      </c>
    </row>
    <row r="700" spans="1:9" x14ac:dyDescent="0.3">
      <c r="D700" t="s">
        <v>269</v>
      </c>
      <c r="F700" s="20">
        <v>53</v>
      </c>
      <c r="G700" s="12">
        <v>2.6499999999999999E-2</v>
      </c>
      <c r="H700" s="20">
        <v>720</v>
      </c>
      <c r="I700" s="20">
        <v>2000</v>
      </c>
    </row>
    <row r="701" spans="1:9" x14ac:dyDescent="0.3">
      <c r="C701" t="s">
        <v>243</v>
      </c>
      <c r="F701" s="20">
        <v>53</v>
      </c>
      <c r="G701" s="12">
        <v>2.6499999999999999E-2</v>
      </c>
      <c r="H701" s="20">
        <v>720</v>
      </c>
      <c r="I701" s="20">
        <v>2000</v>
      </c>
    </row>
    <row r="702" spans="1:9" x14ac:dyDescent="0.3">
      <c r="B702" t="s">
        <v>237</v>
      </c>
      <c r="F702" s="20">
        <v>53</v>
      </c>
      <c r="G702" s="12">
        <v>2.6499999999999999E-2</v>
      </c>
      <c r="H702" s="20">
        <v>720</v>
      </c>
      <c r="I702" s="20">
        <v>2000</v>
      </c>
    </row>
    <row r="703" spans="1:9" x14ac:dyDescent="0.3">
      <c r="A703" t="s">
        <v>385</v>
      </c>
      <c r="F703" s="20">
        <v>53</v>
      </c>
      <c r="G703" s="12">
        <v>2.6499999999999999E-2</v>
      </c>
      <c r="H703" s="20">
        <v>720</v>
      </c>
      <c r="I703" s="20">
        <v>2000</v>
      </c>
    </row>
    <row r="704" spans="1:9" x14ac:dyDescent="0.3">
      <c r="A704" t="s">
        <v>167</v>
      </c>
      <c r="B704" t="s">
        <v>24</v>
      </c>
      <c r="C704" t="s">
        <v>20</v>
      </c>
      <c r="D704" t="s">
        <v>10</v>
      </c>
      <c r="E704" t="s">
        <v>9</v>
      </c>
      <c r="F704" s="20">
        <v>54</v>
      </c>
      <c r="G704" s="12">
        <v>2.7E-2</v>
      </c>
      <c r="H704" s="20">
        <v>880</v>
      </c>
      <c r="I704" s="20">
        <v>2000</v>
      </c>
    </row>
    <row r="705" spans="1:9" x14ac:dyDescent="0.3">
      <c r="D705" t="s">
        <v>269</v>
      </c>
      <c r="F705" s="20">
        <v>54</v>
      </c>
      <c r="G705" s="12">
        <v>2.7E-2</v>
      </c>
      <c r="H705" s="20">
        <v>880</v>
      </c>
      <c r="I705" s="20">
        <v>2000</v>
      </c>
    </row>
    <row r="706" spans="1:9" x14ac:dyDescent="0.3">
      <c r="C706" t="s">
        <v>245</v>
      </c>
      <c r="F706" s="20">
        <v>54</v>
      </c>
      <c r="G706" s="12">
        <v>2.7E-2</v>
      </c>
      <c r="H706" s="20">
        <v>880</v>
      </c>
      <c r="I706" s="20">
        <v>2000</v>
      </c>
    </row>
    <row r="707" spans="1:9" x14ac:dyDescent="0.3">
      <c r="B707" t="s">
        <v>234</v>
      </c>
      <c r="F707" s="20">
        <v>54</v>
      </c>
      <c r="G707" s="12">
        <v>2.7E-2</v>
      </c>
      <c r="H707" s="20">
        <v>880</v>
      </c>
      <c r="I707" s="20">
        <v>2000</v>
      </c>
    </row>
    <row r="708" spans="1:9" x14ac:dyDescent="0.3">
      <c r="A708" t="s">
        <v>386</v>
      </c>
      <c r="F708" s="20">
        <v>54</v>
      </c>
      <c r="G708" s="12">
        <v>2.7E-2</v>
      </c>
      <c r="H708" s="20">
        <v>880</v>
      </c>
      <c r="I708" s="20">
        <v>2000</v>
      </c>
    </row>
    <row r="709" spans="1:9" x14ac:dyDescent="0.3">
      <c r="A709" t="s">
        <v>168</v>
      </c>
      <c r="B709" t="s">
        <v>25</v>
      </c>
      <c r="C709" t="s">
        <v>18</v>
      </c>
      <c r="D709" t="s">
        <v>10</v>
      </c>
      <c r="E709" t="s">
        <v>8</v>
      </c>
      <c r="F709" s="20">
        <v>55</v>
      </c>
      <c r="G709" s="12">
        <v>2.75E-2</v>
      </c>
      <c r="H709" s="20">
        <v>105</v>
      </c>
      <c r="I709" s="20">
        <v>2000</v>
      </c>
    </row>
    <row r="710" spans="1:9" x14ac:dyDescent="0.3">
      <c r="D710" t="s">
        <v>269</v>
      </c>
      <c r="F710" s="20">
        <v>55</v>
      </c>
      <c r="G710" s="12">
        <v>2.75E-2</v>
      </c>
      <c r="H710" s="20">
        <v>105</v>
      </c>
      <c r="I710" s="20">
        <v>2000</v>
      </c>
    </row>
    <row r="711" spans="1:9" x14ac:dyDescent="0.3">
      <c r="C711" t="s">
        <v>247</v>
      </c>
      <c r="F711" s="20">
        <v>55</v>
      </c>
      <c r="G711" s="12">
        <v>2.75E-2</v>
      </c>
      <c r="H711" s="20">
        <v>105</v>
      </c>
      <c r="I711" s="20">
        <v>2000</v>
      </c>
    </row>
    <row r="712" spans="1:9" x14ac:dyDescent="0.3">
      <c r="B712" t="s">
        <v>237</v>
      </c>
      <c r="F712" s="20">
        <v>55</v>
      </c>
      <c r="G712" s="12">
        <v>2.75E-2</v>
      </c>
      <c r="H712" s="20">
        <v>105</v>
      </c>
      <c r="I712" s="20">
        <v>2000</v>
      </c>
    </row>
    <row r="713" spans="1:9" x14ac:dyDescent="0.3">
      <c r="A713" t="s">
        <v>387</v>
      </c>
      <c r="F713" s="20">
        <v>55</v>
      </c>
      <c r="G713" s="12">
        <v>2.75E-2</v>
      </c>
      <c r="H713" s="20">
        <v>105</v>
      </c>
      <c r="I713" s="20">
        <v>2000</v>
      </c>
    </row>
    <row r="714" spans="1:9" x14ac:dyDescent="0.3">
      <c r="A714" t="s">
        <v>169</v>
      </c>
      <c r="B714" t="s">
        <v>24</v>
      </c>
      <c r="C714" t="s">
        <v>19</v>
      </c>
      <c r="D714" t="s">
        <v>10</v>
      </c>
      <c r="E714" t="s">
        <v>7</v>
      </c>
      <c r="F714" s="20">
        <v>56</v>
      </c>
      <c r="G714" s="12">
        <v>2.8000000000000001E-2</v>
      </c>
      <c r="H714" s="20">
        <v>550</v>
      </c>
      <c r="I714" s="20">
        <v>2000</v>
      </c>
    </row>
    <row r="715" spans="1:9" x14ac:dyDescent="0.3">
      <c r="D715" t="s">
        <v>269</v>
      </c>
      <c r="F715" s="20">
        <v>56</v>
      </c>
      <c r="G715" s="12">
        <v>2.8000000000000001E-2</v>
      </c>
      <c r="H715" s="20">
        <v>550</v>
      </c>
      <c r="I715" s="20">
        <v>2000</v>
      </c>
    </row>
    <row r="716" spans="1:9" x14ac:dyDescent="0.3">
      <c r="C716" t="s">
        <v>249</v>
      </c>
      <c r="F716" s="20">
        <v>56</v>
      </c>
      <c r="G716" s="12">
        <v>2.8000000000000001E-2</v>
      </c>
      <c r="H716" s="20">
        <v>550</v>
      </c>
      <c r="I716" s="20">
        <v>2000</v>
      </c>
    </row>
    <row r="717" spans="1:9" x14ac:dyDescent="0.3">
      <c r="B717" t="s">
        <v>234</v>
      </c>
      <c r="F717" s="20">
        <v>56</v>
      </c>
      <c r="G717" s="12">
        <v>2.8000000000000001E-2</v>
      </c>
      <c r="H717" s="20">
        <v>550</v>
      </c>
      <c r="I717" s="20">
        <v>2000</v>
      </c>
    </row>
    <row r="718" spans="1:9" x14ac:dyDescent="0.3">
      <c r="A718" t="s">
        <v>388</v>
      </c>
      <c r="F718" s="20">
        <v>56</v>
      </c>
      <c r="G718" s="12">
        <v>2.8000000000000001E-2</v>
      </c>
      <c r="H718" s="20">
        <v>550</v>
      </c>
      <c r="I718" s="20">
        <v>2000</v>
      </c>
    </row>
    <row r="719" spans="1:9" x14ac:dyDescent="0.3">
      <c r="A719" t="s">
        <v>170</v>
      </c>
      <c r="B719" t="s">
        <v>25</v>
      </c>
      <c r="C719" t="s">
        <v>21</v>
      </c>
      <c r="D719" t="s">
        <v>10</v>
      </c>
      <c r="E719" t="s">
        <v>8</v>
      </c>
      <c r="F719" s="20">
        <v>57</v>
      </c>
      <c r="G719" s="12">
        <v>2.8500000000000001E-2</v>
      </c>
      <c r="H719" s="20">
        <v>145</v>
      </c>
      <c r="I719" s="20">
        <v>2000</v>
      </c>
    </row>
    <row r="720" spans="1:9" x14ac:dyDescent="0.3">
      <c r="D720" t="s">
        <v>269</v>
      </c>
      <c r="F720" s="20">
        <v>57</v>
      </c>
      <c r="G720" s="12">
        <v>2.8500000000000001E-2</v>
      </c>
      <c r="H720" s="20">
        <v>145</v>
      </c>
      <c r="I720" s="20">
        <v>2000</v>
      </c>
    </row>
    <row r="721" spans="1:9" x14ac:dyDescent="0.3">
      <c r="C721" t="s">
        <v>251</v>
      </c>
      <c r="F721" s="20">
        <v>57</v>
      </c>
      <c r="G721" s="12">
        <v>2.8500000000000001E-2</v>
      </c>
      <c r="H721" s="20">
        <v>145</v>
      </c>
      <c r="I721" s="20">
        <v>2000</v>
      </c>
    </row>
    <row r="722" spans="1:9" x14ac:dyDescent="0.3">
      <c r="B722" t="s">
        <v>237</v>
      </c>
      <c r="F722" s="20">
        <v>57</v>
      </c>
      <c r="G722" s="12">
        <v>2.8500000000000001E-2</v>
      </c>
      <c r="H722" s="20">
        <v>145</v>
      </c>
      <c r="I722" s="20">
        <v>2000</v>
      </c>
    </row>
    <row r="723" spans="1:9" x14ac:dyDescent="0.3">
      <c r="A723" t="s">
        <v>389</v>
      </c>
      <c r="F723" s="20">
        <v>57</v>
      </c>
      <c r="G723" s="12">
        <v>2.8500000000000001E-2</v>
      </c>
      <c r="H723" s="20">
        <v>145</v>
      </c>
      <c r="I723" s="20">
        <v>2000</v>
      </c>
    </row>
    <row r="724" spans="1:9" x14ac:dyDescent="0.3">
      <c r="A724" t="s">
        <v>171</v>
      </c>
      <c r="B724" t="s">
        <v>24</v>
      </c>
      <c r="C724" t="s">
        <v>13</v>
      </c>
      <c r="D724" t="s">
        <v>10</v>
      </c>
      <c r="E724" t="s">
        <v>8</v>
      </c>
      <c r="F724" s="20">
        <v>58</v>
      </c>
      <c r="G724" s="12">
        <v>2.9000000000000001E-2</v>
      </c>
      <c r="H724" s="20">
        <v>300</v>
      </c>
      <c r="I724" s="20">
        <v>2000</v>
      </c>
    </row>
    <row r="725" spans="1:9" x14ac:dyDescent="0.3">
      <c r="D725" t="s">
        <v>269</v>
      </c>
      <c r="F725" s="20">
        <v>58</v>
      </c>
      <c r="G725" s="12">
        <v>2.9000000000000001E-2</v>
      </c>
      <c r="H725" s="20">
        <v>300</v>
      </c>
      <c r="I725" s="20">
        <v>2000</v>
      </c>
    </row>
    <row r="726" spans="1:9" x14ac:dyDescent="0.3">
      <c r="C726" t="s">
        <v>233</v>
      </c>
      <c r="F726" s="20">
        <v>58</v>
      </c>
      <c r="G726" s="12">
        <v>2.9000000000000001E-2</v>
      </c>
      <c r="H726" s="20">
        <v>300</v>
      </c>
      <c r="I726" s="20">
        <v>2000</v>
      </c>
    </row>
    <row r="727" spans="1:9" x14ac:dyDescent="0.3">
      <c r="B727" t="s">
        <v>234</v>
      </c>
      <c r="F727" s="20">
        <v>58</v>
      </c>
      <c r="G727" s="12">
        <v>2.9000000000000001E-2</v>
      </c>
      <c r="H727" s="20">
        <v>300</v>
      </c>
      <c r="I727" s="20">
        <v>2000</v>
      </c>
    </row>
    <row r="728" spans="1:9" x14ac:dyDescent="0.3">
      <c r="A728" t="s">
        <v>390</v>
      </c>
      <c r="F728" s="20">
        <v>58</v>
      </c>
      <c r="G728" s="12">
        <v>2.9000000000000001E-2</v>
      </c>
      <c r="H728" s="20">
        <v>300</v>
      </c>
      <c r="I728" s="20">
        <v>2000</v>
      </c>
    </row>
    <row r="729" spans="1:9" x14ac:dyDescent="0.3">
      <c r="A729" t="s">
        <v>172</v>
      </c>
      <c r="B729" t="s">
        <v>25</v>
      </c>
      <c r="C729" t="s">
        <v>14</v>
      </c>
      <c r="D729" t="s">
        <v>10</v>
      </c>
      <c r="E729" t="s">
        <v>8</v>
      </c>
      <c r="F729" s="20">
        <v>59</v>
      </c>
      <c r="G729" s="12">
        <v>2.9499999999999998E-2</v>
      </c>
      <c r="H729" s="20">
        <v>65</v>
      </c>
      <c r="I729" s="20">
        <v>2000</v>
      </c>
    </row>
    <row r="730" spans="1:9" x14ac:dyDescent="0.3">
      <c r="D730" t="s">
        <v>269</v>
      </c>
      <c r="F730" s="20">
        <v>59</v>
      </c>
      <c r="G730" s="12">
        <v>2.9499999999999998E-2</v>
      </c>
      <c r="H730" s="20">
        <v>65</v>
      </c>
      <c r="I730" s="20">
        <v>2000</v>
      </c>
    </row>
    <row r="731" spans="1:9" x14ac:dyDescent="0.3">
      <c r="C731" t="s">
        <v>236</v>
      </c>
      <c r="F731" s="20">
        <v>59</v>
      </c>
      <c r="G731" s="12">
        <v>2.9499999999999998E-2</v>
      </c>
      <c r="H731" s="20">
        <v>65</v>
      </c>
      <c r="I731" s="20">
        <v>2000</v>
      </c>
    </row>
    <row r="732" spans="1:9" x14ac:dyDescent="0.3">
      <c r="B732" t="s">
        <v>237</v>
      </c>
      <c r="F732" s="20">
        <v>59</v>
      </c>
      <c r="G732" s="12">
        <v>2.9499999999999998E-2</v>
      </c>
      <c r="H732" s="20">
        <v>65</v>
      </c>
      <c r="I732" s="20">
        <v>2000</v>
      </c>
    </row>
    <row r="733" spans="1:9" x14ac:dyDescent="0.3">
      <c r="A733" t="s">
        <v>391</v>
      </c>
      <c r="F733" s="20">
        <v>59</v>
      </c>
      <c r="G733" s="12">
        <v>2.9499999999999998E-2</v>
      </c>
      <c r="H733" s="20">
        <v>65</v>
      </c>
      <c r="I733" s="20">
        <v>2000</v>
      </c>
    </row>
    <row r="734" spans="1:9" x14ac:dyDescent="0.3">
      <c r="A734" t="s">
        <v>173</v>
      </c>
      <c r="B734" t="s">
        <v>24</v>
      </c>
      <c r="C734" t="s">
        <v>15</v>
      </c>
      <c r="D734" t="s">
        <v>10</v>
      </c>
      <c r="E734" t="s">
        <v>9</v>
      </c>
      <c r="F734" s="20">
        <v>60</v>
      </c>
      <c r="G734" s="12">
        <v>0.03</v>
      </c>
      <c r="H734" s="20">
        <v>740</v>
      </c>
      <c r="I734" s="20">
        <v>2000</v>
      </c>
    </row>
    <row r="735" spans="1:9" x14ac:dyDescent="0.3">
      <c r="D735" t="s">
        <v>269</v>
      </c>
      <c r="F735" s="20">
        <v>60</v>
      </c>
      <c r="G735" s="12">
        <v>0.03</v>
      </c>
      <c r="H735" s="20">
        <v>740</v>
      </c>
      <c r="I735" s="20">
        <v>2000</v>
      </c>
    </row>
    <row r="736" spans="1:9" x14ac:dyDescent="0.3">
      <c r="C736" t="s">
        <v>239</v>
      </c>
      <c r="F736" s="20">
        <v>60</v>
      </c>
      <c r="G736" s="12">
        <v>0.03</v>
      </c>
      <c r="H736" s="20">
        <v>740</v>
      </c>
      <c r="I736" s="20">
        <v>2000</v>
      </c>
    </row>
    <row r="737" spans="1:9" x14ac:dyDescent="0.3">
      <c r="B737" t="s">
        <v>234</v>
      </c>
      <c r="F737" s="20">
        <v>60</v>
      </c>
      <c r="G737" s="12">
        <v>0.03</v>
      </c>
      <c r="H737" s="20">
        <v>740</v>
      </c>
      <c r="I737" s="20">
        <v>2000</v>
      </c>
    </row>
    <row r="738" spans="1:9" x14ac:dyDescent="0.3">
      <c r="A738" t="s">
        <v>392</v>
      </c>
      <c r="F738" s="20">
        <v>60</v>
      </c>
      <c r="G738" s="12">
        <v>0.03</v>
      </c>
      <c r="H738" s="20">
        <v>740</v>
      </c>
      <c r="I738" s="20">
        <v>2000</v>
      </c>
    </row>
    <row r="739" spans="1:9" x14ac:dyDescent="0.3">
      <c r="A739" t="s">
        <v>174</v>
      </c>
      <c r="B739" t="s">
        <v>25</v>
      </c>
      <c r="C739" t="s">
        <v>16</v>
      </c>
      <c r="D739" t="s">
        <v>10</v>
      </c>
      <c r="E739" t="s">
        <v>8</v>
      </c>
      <c r="F739" s="20">
        <v>61</v>
      </c>
      <c r="G739" s="12">
        <v>3.0499999999999999E-2</v>
      </c>
      <c r="H739" s="20">
        <v>210</v>
      </c>
      <c r="I739" s="20">
        <v>2000</v>
      </c>
    </row>
    <row r="740" spans="1:9" x14ac:dyDescent="0.3">
      <c r="D740" t="s">
        <v>269</v>
      </c>
      <c r="F740" s="20">
        <v>61</v>
      </c>
      <c r="G740" s="12">
        <v>3.0499999999999999E-2</v>
      </c>
      <c r="H740" s="20">
        <v>210</v>
      </c>
      <c r="I740" s="20">
        <v>2000</v>
      </c>
    </row>
    <row r="741" spans="1:9" x14ac:dyDescent="0.3">
      <c r="C741" t="s">
        <v>241</v>
      </c>
      <c r="F741" s="20">
        <v>61</v>
      </c>
      <c r="G741" s="12">
        <v>3.0499999999999999E-2</v>
      </c>
      <c r="H741" s="20">
        <v>210</v>
      </c>
      <c r="I741" s="20">
        <v>2000</v>
      </c>
    </row>
    <row r="742" spans="1:9" x14ac:dyDescent="0.3">
      <c r="B742" t="s">
        <v>237</v>
      </c>
      <c r="F742" s="20">
        <v>61</v>
      </c>
      <c r="G742" s="12">
        <v>3.0499999999999999E-2</v>
      </c>
      <c r="H742" s="20">
        <v>210</v>
      </c>
      <c r="I742" s="20">
        <v>2000</v>
      </c>
    </row>
    <row r="743" spans="1:9" x14ac:dyDescent="0.3">
      <c r="A743" t="s">
        <v>393</v>
      </c>
      <c r="F743" s="20">
        <v>61</v>
      </c>
      <c r="G743" s="12">
        <v>3.0499999999999999E-2</v>
      </c>
      <c r="H743" s="20">
        <v>210</v>
      </c>
      <c r="I743" s="20">
        <v>2000</v>
      </c>
    </row>
    <row r="744" spans="1:9" x14ac:dyDescent="0.3">
      <c r="A744" t="s">
        <v>175</v>
      </c>
      <c r="B744" t="s">
        <v>24</v>
      </c>
      <c r="C744" t="s">
        <v>17</v>
      </c>
      <c r="D744" t="s">
        <v>10</v>
      </c>
      <c r="E744" t="s">
        <v>8</v>
      </c>
      <c r="F744" s="20">
        <v>62</v>
      </c>
      <c r="G744" s="12">
        <v>3.1E-2</v>
      </c>
      <c r="H744" s="20">
        <v>430</v>
      </c>
      <c r="I744" s="20">
        <v>2000</v>
      </c>
    </row>
    <row r="745" spans="1:9" x14ac:dyDescent="0.3">
      <c r="D745" t="s">
        <v>269</v>
      </c>
      <c r="F745" s="20">
        <v>62</v>
      </c>
      <c r="G745" s="12">
        <v>3.1E-2</v>
      </c>
      <c r="H745" s="20">
        <v>430</v>
      </c>
      <c r="I745" s="20">
        <v>2000</v>
      </c>
    </row>
    <row r="746" spans="1:9" x14ac:dyDescent="0.3">
      <c r="C746" t="s">
        <v>243</v>
      </c>
      <c r="F746" s="20">
        <v>62</v>
      </c>
      <c r="G746" s="12">
        <v>3.1E-2</v>
      </c>
      <c r="H746" s="20">
        <v>430</v>
      </c>
      <c r="I746" s="20">
        <v>2000</v>
      </c>
    </row>
    <row r="747" spans="1:9" x14ac:dyDescent="0.3">
      <c r="B747" t="s">
        <v>234</v>
      </c>
      <c r="F747" s="20">
        <v>62</v>
      </c>
      <c r="G747" s="12">
        <v>3.1E-2</v>
      </c>
      <c r="H747" s="20">
        <v>430</v>
      </c>
      <c r="I747" s="20">
        <v>2000</v>
      </c>
    </row>
    <row r="748" spans="1:9" x14ac:dyDescent="0.3">
      <c r="A748" t="s">
        <v>394</v>
      </c>
      <c r="F748" s="20">
        <v>62</v>
      </c>
      <c r="G748" s="12">
        <v>3.1E-2</v>
      </c>
      <c r="H748" s="20">
        <v>430</v>
      </c>
      <c r="I748" s="20">
        <v>2000</v>
      </c>
    </row>
    <row r="749" spans="1:9" x14ac:dyDescent="0.3">
      <c r="A749" t="s">
        <v>176</v>
      </c>
      <c r="B749" t="s">
        <v>25</v>
      </c>
      <c r="C749" t="s">
        <v>20</v>
      </c>
      <c r="D749" t="s">
        <v>10</v>
      </c>
      <c r="E749" t="s">
        <v>8</v>
      </c>
      <c r="F749" s="20">
        <v>63</v>
      </c>
      <c r="G749" s="12">
        <v>3.15E-2</v>
      </c>
      <c r="H749" s="20">
        <v>125</v>
      </c>
      <c r="I749" s="20">
        <v>2000</v>
      </c>
    </row>
    <row r="750" spans="1:9" x14ac:dyDescent="0.3">
      <c r="D750" t="s">
        <v>269</v>
      </c>
      <c r="F750" s="20">
        <v>63</v>
      </c>
      <c r="G750" s="12">
        <v>3.15E-2</v>
      </c>
      <c r="H750" s="20">
        <v>125</v>
      </c>
      <c r="I750" s="20">
        <v>2000</v>
      </c>
    </row>
    <row r="751" spans="1:9" x14ac:dyDescent="0.3">
      <c r="C751" t="s">
        <v>245</v>
      </c>
      <c r="F751" s="20">
        <v>63</v>
      </c>
      <c r="G751" s="12">
        <v>3.15E-2</v>
      </c>
      <c r="H751" s="20">
        <v>125</v>
      </c>
      <c r="I751" s="20">
        <v>2000</v>
      </c>
    </row>
    <row r="752" spans="1:9" x14ac:dyDescent="0.3">
      <c r="B752" t="s">
        <v>237</v>
      </c>
      <c r="F752" s="20">
        <v>63</v>
      </c>
      <c r="G752" s="12">
        <v>3.15E-2</v>
      </c>
      <c r="H752" s="20">
        <v>125</v>
      </c>
      <c r="I752" s="20">
        <v>2000</v>
      </c>
    </row>
    <row r="753" spans="1:9" x14ac:dyDescent="0.3">
      <c r="A753" t="s">
        <v>395</v>
      </c>
      <c r="F753" s="20">
        <v>63</v>
      </c>
      <c r="G753" s="12">
        <v>3.15E-2</v>
      </c>
      <c r="H753" s="20">
        <v>125</v>
      </c>
      <c r="I753" s="20">
        <v>2000</v>
      </c>
    </row>
    <row r="754" spans="1:9" x14ac:dyDescent="0.3">
      <c r="A754" t="s">
        <v>177</v>
      </c>
      <c r="B754" t="s">
        <v>24</v>
      </c>
      <c r="C754" t="s">
        <v>18</v>
      </c>
      <c r="D754" t="s">
        <v>10</v>
      </c>
      <c r="E754" t="s">
        <v>7</v>
      </c>
      <c r="F754" s="20">
        <v>64</v>
      </c>
      <c r="G754" s="12">
        <v>3.2000000000000001E-2</v>
      </c>
      <c r="H754" s="20">
        <v>680</v>
      </c>
      <c r="I754" s="20">
        <v>2000</v>
      </c>
    </row>
    <row r="755" spans="1:9" x14ac:dyDescent="0.3">
      <c r="D755" t="s">
        <v>269</v>
      </c>
      <c r="F755" s="20">
        <v>64</v>
      </c>
      <c r="G755" s="12">
        <v>3.2000000000000001E-2</v>
      </c>
      <c r="H755" s="20">
        <v>680</v>
      </c>
      <c r="I755" s="20">
        <v>2000</v>
      </c>
    </row>
    <row r="756" spans="1:9" x14ac:dyDescent="0.3">
      <c r="C756" t="s">
        <v>247</v>
      </c>
      <c r="F756" s="20">
        <v>64</v>
      </c>
      <c r="G756" s="12">
        <v>3.2000000000000001E-2</v>
      </c>
      <c r="H756" s="20">
        <v>680</v>
      </c>
      <c r="I756" s="20">
        <v>2000</v>
      </c>
    </row>
    <row r="757" spans="1:9" x14ac:dyDescent="0.3">
      <c r="B757" t="s">
        <v>234</v>
      </c>
      <c r="F757" s="20">
        <v>64</v>
      </c>
      <c r="G757" s="12">
        <v>3.2000000000000001E-2</v>
      </c>
      <c r="H757" s="20">
        <v>680</v>
      </c>
      <c r="I757" s="20">
        <v>2000</v>
      </c>
    </row>
    <row r="758" spans="1:9" x14ac:dyDescent="0.3">
      <c r="A758" t="s">
        <v>396</v>
      </c>
      <c r="F758" s="20">
        <v>64</v>
      </c>
      <c r="G758" s="12">
        <v>3.2000000000000001E-2</v>
      </c>
      <c r="H758" s="20">
        <v>680</v>
      </c>
      <c r="I758" s="20">
        <v>2000</v>
      </c>
    </row>
    <row r="759" spans="1:9" x14ac:dyDescent="0.3">
      <c r="A759" t="s">
        <v>178</v>
      </c>
      <c r="B759" t="s">
        <v>25</v>
      </c>
      <c r="C759" t="s">
        <v>19</v>
      </c>
      <c r="D759" t="s">
        <v>10</v>
      </c>
      <c r="E759" t="s">
        <v>8</v>
      </c>
      <c r="F759" s="20">
        <v>65</v>
      </c>
      <c r="G759" s="12">
        <v>3.2500000000000001E-2</v>
      </c>
      <c r="H759" s="20">
        <v>250</v>
      </c>
      <c r="I759" s="20">
        <v>2000</v>
      </c>
    </row>
    <row r="760" spans="1:9" x14ac:dyDescent="0.3">
      <c r="D760" t="s">
        <v>269</v>
      </c>
      <c r="F760" s="20">
        <v>65</v>
      </c>
      <c r="G760" s="12">
        <v>3.2500000000000001E-2</v>
      </c>
      <c r="H760" s="20">
        <v>250</v>
      </c>
      <c r="I760" s="20">
        <v>2000</v>
      </c>
    </row>
    <row r="761" spans="1:9" x14ac:dyDescent="0.3">
      <c r="C761" t="s">
        <v>249</v>
      </c>
      <c r="F761" s="20">
        <v>65</v>
      </c>
      <c r="G761" s="12">
        <v>3.2500000000000001E-2</v>
      </c>
      <c r="H761" s="20">
        <v>250</v>
      </c>
      <c r="I761" s="20">
        <v>2000</v>
      </c>
    </row>
    <row r="762" spans="1:9" x14ac:dyDescent="0.3">
      <c r="B762" t="s">
        <v>237</v>
      </c>
      <c r="F762" s="20">
        <v>65</v>
      </c>
      <c r="G762" s="12">
        <v>3.2500000000000001E-2</v>
      </c>
      <c r="H762" s="20">
        <v>250</v>
      </c>
      <c r="I762" s="20">
        <v>2000</v>
      </c>
    </row>
    <row r="763" spans="1:9" x14ac:dyDescent="0.3">
      <c r="A763" t="s">
        <v>397</v>
      </c>
      <c r="F763" s="20">
        <v>65</v>
      </c>
      <c r="G763" s="12">
        <v>3.2500000000000001E-2</v>
      </c>
      <c r="H763" s="20">
        <v>250</v>
      </c>
      <c r="I763" s="20">
        <v>2000</v>
      </c>
    </row>
    <row r="764" spans="1:9" x14ac:dyDescent="0.3">
      <c r="A764" t="s">
        <v>179</v>
      </c>
      <c r="B764" t="s">
        <v>24</v>
      </c>
      <c r="C764" t="s">
        <v>21</v>
      </c>
      <c r="D764" t="s">
        <v>10</v>
      </c>
      <c r="E764" t="s">
        <v>9</v>
      </c>
      <c r="F764" s="20">
        <v>66</v>
      </c>
      <c r="G764" s="12">
        <v>3.3000000000000002E-2</v>
      </c>
      <c r="H764" s="20">
        <v>890</v>
      </c>
      <c r="I764" s="20">
        <v>2000</v>
      </c>
    </row>
    <row r="765" spans="1:9" x14ac:dyDescent="0.3">
      <c r="D765" t="s">
        <v>269</v>
      </c>
      <c r="F765" s="20">
        <v>66</v>
      </c>
      <c r="G765" s="12">
        <v>3.3000000000000002E-2</v>
      </c>
      <c r="H765" s="20">
        <v>890</v>
      </c>
      <c r="I765" s="20">
        <v>2000</v>
      </c>
    </row>
    <row r="766" spans="1:9" x14ac:dyDescent="0.3">
      <c r="C766" t="s">
        <v>251</v>
      </c>
      <c r="F766" s="20">
        <v>66</v>
      </c>
      <c r="G766" s="12">
        <v>3.3000000000000002E-2</v>
      </c>
      <c r="H766" s="20">
        <v>890</v>
      </c>
      <c r="I766" s="20">
        <v>2000</v>
      </c>
    </row>
    <row r="767" spans="1:9" x14ac:dyDescent="0.3">
      <c r="B767" t="s">
        <v>234</v>
      </c>
      <c r="F767" s="20">
        <v>66</v>
      </c>
      <c r="G767" s="12">
        <v>3.3000000000000002E-2</v>
      </c>
      <c r="H767" s="20">
        <v>890</v>
      </c>
      <c r="I767" s="20">
        <v>2000</v>
      </c>
    </row>
    <row r="768" spans="1:9" x14ac:dyDescent="0.3">
      <c r="A768" t="s">
        <v>398</v>
      </c>
      <c r="F768" s="20">
        <v>66</v>
      </c>
      <c r="G768" s="12">
        <v>3.3000000000000002E-2</v>
      </c>
      <c r="H768" s="20">
        <v>890</v>
      </c>
      <c r="I768" s="20">
        <v>2000</v>
      </c>
    </row>
    <row r="769" spans="1:9" x14ac:dyDescent="0.3">
      <c r="A769" t="s">
        <v>180</v>
      </c>
      <c r="B769" t="s">
        <v>25</v>
      </c>
      <c r="C769" t="s">
        <v>13</v>
      </c>
      <c r="D769" t="s">
        <v>10</v>
      </c>
      <c r="E769" t="s">
        <v>8</v>
      </c>
      <c r="F769" s="20">
        <v>67</v>
      </c>
      <c r="G769" s="12">
        <v>3.3500000000000002E-2</v>
      </c>
      <c r="H769" s="20">
        <v>340</v>
      </c>
      <c r="I769" s="20">
        <v>2000</v>
      </c>
    </row>
    <row r="770" spans="1:9" x14ac:dyDescent="0.3">
      <c r="D770" t="s">
        <v>269</v>
      </c>
      <c r="F770" s="20">
        <v>67</v>
      </c>
      <c r="G770" s="12">
        <v>3.3500000000000002E-2</v>
      </c>
      <c r="H770" s="20">
        <v>340</v>
      </c>
      <c r="I770" s="20">
        <v>2000</v>
      </c>
    </row>
    <row r="771" spans="1:9" x14ac:dyDescent="0.3">
      <c r="C771" t="s">
        <v>233</v>
      </c>
      <c r="F771" s="20">
        <v>67</v>
      </c>
      <c r="G771" s="12">
        <v>3.3500000000000002E-2</v>
      </c>
      <c r="H771" s="20">
        <v>340</v>
      </c>
      <c r="I771" s="20">
        <v>2000</v>
      </c>
    </row>
    <row r="772" spans="1:9" x14ac:dyDescent="0.3">
      <c r="B772" t="s">
        <v>237</v>
      </c>
      <c r="F772" s="20">
        <v>67</v>
      </c>
      <c r="G772" s="12">
        <v>3.3500000000000002E-2</v>
      </c>
      <c r="H772" s="20">
        <v>340</v>
      </c>
      <c r="I772" s="20">
        <v>2000</v>
      </c>
    </row>
    <row r="773" spans="1:9" x14ac:dyDescent="0.3">
      <c r="A773" t="s">
        <v>399</v>
      </c>
      <c r="F773" s="20">
        <v>67</v>
      </c>
      <c r="G773" s="12">
        <v>3.3500000000000002E-2</v>
      </c>
      <c r="H773" s="20">
        <v>340</v>
      </c>
      <c r="I773" s="20">
        <v>2000</v>
      </c>
    </row>
    <row r="774" spans="1:9" x14ac:dyDescent="0.3">
      <c r="A774" t="s">
        <v>181</v>
      </c>
      <c r="B774" t="s">
        <v>24</v>
      </c>
      <c r="C774" t="s">
        <v>14</v>
      </c>
      <c r="D774" t="s">
        <v>10</v>
      </c>
      <c r="E774" t="s">
        <v>8</v>
      </c>
      <c r="F774" s="20">
        <v>68</v>
      </c>
      <c r="G774" s="12">
        <v>3.4000000000000002E-2</v>
      </c>
      <c r="H774" s="20">
        <v>275</v>
      </c>
      <c r="I774" s="20">
        <v>2000</v>
      </c>
    </row>
    <row r="775" spans="1:9" x14ac:dyDescent="0.3">
      <c r="D775" t="s">
        <v>269</v>
      </c>
      <c r="F775" s="20">
        <v>68</v>
      </c>
      <c r="G775" s="12">
        <v>3.4000000000000002E-2</v>
      </c>
      <c r="H775" s="20">
        <v>275</v>
      </c>
      <c r="I775" s="20">
        <v>2000</v>
      </c>
    </row>
    <row r="776" spans="1:9" x14ac:dyDescent="0.3">
      <c r="C776" t="s">
        <v>236</v>
      </c>
      <c r="F776" s="20">
        <v>68</v>
      </c>
      <c r="G776" s="12">
        <v>3.4000000000000002E-2</v>
      </c>
      <c r="H776" s="20">
        <v>275</v>
      </c>
      <c r="I776" s="20">
        <v>2000</v>
      </c>
    </row>
    <row r="777" spans="1:9" x14ac:dyDescent="0.3">
      <c r="B777" t="s">
        <v>234</v>
      </c>
      <c r="F777" s="20">
        <v>68</v>
      </c>
      <c r="G777" s="12">
        <v>3.4000000000000002E-2</v>
      </c>
      <c r="H777" s="20">
        <v>275</v>
      </c>
      <c r="I777" s="20">
        <v>2000</v>
      </c>
    </row>
    <row r="778" spans="1:9" x14ac:dyDescent="0.3">
      <c r="A778" t="s">
        <v>400</v>
      </c>
      <c r="F778" s="20">
        <v>68</v>
      </c>
      <c r="G778" s="12">
        <v>3.4000000000000002E-2</v>
      </c>
      <c r="H778" s="20">
        <v>275</v>
      </c>
      <c r="I778" s="20">
        <v>2000</v>
      </c>
    </row>
    <row r="779" spans="1:9" x14ac:dyDescent="0.3">
      <c r="A779" t="s">
        <v>182</v>
      </c>
      <c r="B779" t="s">
        <v>25</v>
      </c>
      <c r="C779" t="s">
        <v>15</v>
      </c>
      <c r="D779" t="s">
        <v>10</v>
      </c>
      <c r="E779" t="s">
        <v>7</v>
      </c>
      <c r="F779" s="20">
        <v>69</v>
      </c>
      <c r="G779" s="12">
        <v>3.4500000000000003E-2</v>
      </c>
      <c r="H779" s="20">
        <v>600</v>
      </c>
      <c r="I779" s="20">
        <v>2000</v>
      </c>
    </row>
    <row r="780" spans="1:9" x14ac:dyDescent="0.3">
      <c r="D780" t="s">
        <v>269</v>
      </c>
      <c r="F780" s="20">
        <v>69</v>
      </c>
      <c r="G780" s="12">
        <v>3.4500000000000003E-2</v>
      </c>
      <c r="H780" s="20">
        <v>600</v>
      </c>
      <c r="I780" s="20">
        <v>2000</v>
      </c>
    </row>
    <row r="781" spans="1:9" x14ac:dyDescent="0.3">
      <c r="C781" t="s">
        <v>239</v>
      </c>
      <c r="F781" s="20">
        <v>69</v>
      </c>
      <c r="G781" s="12">
        <v>3.4500000000000003E-2</v>
      </c>
      <c r="H781" s="20">
        <v>600</v>
      </c>
      <c r="I781" s="20">
        <v>2000</v>
      </c>
    </row>
    <row r="782" spans="1:9" x14ac:dyDescent="0.3">
      <c r="B782" t="s">
        <v>237</v>
      </c>
      <c r="F782" s="20">
        <v>69</v>
      </c>
      <c r="G782" s="12">
        <v>3.4500000000000003E-2</v>
      </c>
      <c r="H782" s="20">
        <v>600</v>
      </c>
      <c r="I782" s="20">
        <v>2000</v>
      </c>
    </row>
    <row r="783" spans="1:9" x14ac:dyDescent="0.3">
      <c r="A783" t="s">
        <v>401</v>
      </c>
      <c r="F783" s="20">
        <v>69</v>
      </c>
      <c r="G783" s="12">
        <v>3.4500000000000003E-2</v>
      </c>
      <c r="H783" s="20">
        <v>600</v>
      </c>
      <c r="I783" s="20">
        <v>2000</v>
      </c>
    </row>
    <row r="784" spans="1:9" x14ac:dyDescent="0.3">
      <c r="A784" t="s">
        <v>183</v>
      </c>
      <c r="B784" t="s">
        <v>24</v>
      </c>
      <c r="C784" t="s">
        <v>16</v>
      </c>
      <c r="D784" t="s">
        <v>6</v>
      </c>
      <c r="E784" t="s">
        <v>8</v>
      </c>
      <c r="F784" s="20">
        <v>48</v>
      </c>
      <c r="G784" s="12">
        <v>2.4E-2</v>
      </c>
      <c r="H784" s="20">
        <v>115</v>
      </c>
      <c r="I784" s="20">
        <v>2000</v>
      </c>
    </row>
    <row r="785" spans="1:9" x14ac:dyDescent="0.3">
      <c r="D785" t="s">
        <v>232</v>
      </c>
      <c r="F785" s="20">
        <v>48</v>
      </c>
      <c r="G785" s="12">
        <v>2.4E-2</v>
      </c>
      <c r="H785" s="20">
        <v>115</v>
      </c>
      <c r="I785" s="20">
        <v>2000</v>
      </c>
    </row>
    <row r="786" spans="1:9" x14ac:dyDescent="0.3">
      <c r="C786" t="s">
        <v>241</v>
      </c>
      <c r="F786" s="20">
        <v>48</v>
      </c>
      <c r="G786" s="12">
        <v>2.4E-2</v>
      </c>
      <c r="H786" s="20">
        <v>115</v>
      </c>
      <c r="I786" s="20">
        <v>2000</v>
      </c>
    </row>
    <row r="787" spans="1:9" x14ac:dyDescent="0.3">
      <c r="B787" t="s">
        <v>234</v>
      </c>
      <c r="F787" s="20">
        <v>48</v>
      </c>
      <c r="G787" s="12">
        <v>2.4E-2</v>
      </c>
      <c r="H787" s="20">
        <v>115</v>
      </c>
      <c r="I787" s="20">
        <v>2000</v>
      </c>
    </row>
    <row r="788" spans="1:9" x14ac:dyDescent="0.3">
      <c r="A788" t="s">
        <v>402</v>
      </c>
      <c r="F788" s="20">
        <v>48</v>
      </c>
      <c r="G788" s="12">
        <v>2.4E-2</v>
      </c>
      <c r="H788" s="20">
        <v>115</v>
      </c>
      <c r="I788" s="20">
        <v>2000</v>
      </c>
    </row>
    <row r="789" spans="1:9" x14ac:dyDescent="0.3">
      <c r="A789" t="s">
        <v>184</v>
      </c>
      <c r="B789" t="s">
        <v>25</v>
      </c>
      <c r="C789" t="s">
        <v>17</v>
      </c>
      <c r="D789" t="s">
        <v>6</v>
      </c>
      <c r="E789" t="s">
        <v>9</v>
      </c>
      <c r="F789" s="20">
        <v>49</v>
      </c>
      <c r="G789" s="12">
        <v>2.4500000000000001E-2</v>
      </c>
      <c r="H789" s="20">
        <v>920</v>
      </c>
      <c r="I789" s="20">
        <v>2000</v>
      </c>
    </row>
    <row r="790" spans="1:9" x14ac:dyDescent="0.3">
      <c r="D790" t="s">
        <v>232</v>
      </c>
      <c r="F790" s="20">
        <v>49</v>
      </c>
      <c r="G790" s="12">
        <v>2.4500000000000001E-2</v>
      </c>
      <c r="H790" s="20">
        <v>920</v>
      </c>
      <c r="I790" s="20">
        <v>2000</v>
      </c>
    </row>
    <row r="791" spans="1:9" x14ac:dyDescent="0.3">
      <c r="C791" t="s">
        <v>243</v>
      </c>
      <c r="F791" s="20">
        <v>49</v>
      </c>
      <c r="G791" s="12">
        <v>2.4500000000000001E-2</v>
      </c>
      <c r="H791" s="20">
        <v>920</v>
      </c>
      <c r="I791" s="20">
        <v>2000</v>
      </c>
    </row>
    <row r="792" spans="1:9" x14ac:dyDescent="0.3">
      <c r="B792" t="s">
        <v>237</v>
      </c>
      <c r="F792" s="20">
        <v>49</v>
      </c>
      <c r="G792" s="12">
        <v>2.4500000000000001E-2</v>
      </c>
      <c r="H792" s="20">
        <v>920</v>
      </c>
      <c r="I792" s="20">
        <v>2000</v>
      </c>
    </row>
    <row r="793" spans="1:9" x14ac:dyDescent="0.3">
      <c r="A793" t="s">
        <v>403</v>
      </c>
      <c r="F793" s="20">
        <v>49</v>
      </c>
      <c r="G793" s="12">
        <v>2.4500000000000001E-2</v>
      </c>
      <c r="H793" s="20">
        <v>920</v>
      </c>
      <c r="I793" s="20">
        <v>2000</v>
      </c>
    </row>
    <row r="794" spans="1:9" x14ac:dyDescent="0.3">
      <c r="A794" t="s">
        <v>185</v>
      </c>
      <c r="B794" t="s">
        <v>24</v>
      </c>
      <c r="C794" t="s">
        <v>20</v>
      </c>
      <c r="D794" t="s">
        <v>10</v>
      </c>
      <c r="E794" t="s">
        <v>8</v>
      </c>
      <c r="F794" s="20">
        <v>50</v>
      </c>
      <c r="G794" s="12">
        <v>2.5000000000000001E-2</v>
      </c>
      <c r="H794" s="20">
        <v>190</v>
      </c>
      <c r="I794" s="20">
        <v>2000</v>
      </c>
    </row>
    <row r="795" spans="1:9" x14ac:dyDescent="0.3">
      <c r="D795" t="s">
        <v>269</v>
      </c>
      <c r="F795" s="20">
        <v>50</v>
      </c>
      <c r="G795" s="12">
        <v>2.5000000000000001E-2</v>
      </c>
      <c r="H795" s="20">
        <v>190</v>
      </c>
      <c r="I795" s="20">
        <v>2000</v>
      </c>
    </row>
    <row r="796" spans="1:9" x14ac:dyDescent="0.3">
      <c r="C796" t="s">
        <v>245</v>
      </c>
      <c r="F796" s="20">
        <v>50</v>
      </c>
      <c r="G796" s="12">
        <v>2.5000000000000001E-2</v>
      </c>
      <c r="H796" s="20">
        <v>190</v>
      </c>
      <c r="I796" s="20">
        <v>2000</v>
      </c>
    </row>
    <row r="797" spans="1:9" x14ac:dyDescent="0.3">
      <c r="B797" t="s">
        <v>234</v>
      </c>
      <c r="F797" s="20">
        <v>50</v>
      </c>
      <c r="G797" s="12">
        <v>2.5000000000000001E-2</v>
      </c>
      <c r="H797" s="20">
        <v>190</v>
      </c>
      <c r="I797" s="20">
        <v>2000</v>
      </c>
    </row>
    <row r="798" spans="1:9" x14ac:dyDescent="0.3">
      <c r="A798" t="s">
        <v>404</v>
      </c>
      <c r="F798" s="20">
        <v>50</v>
      </c>
      <c r="G798" s="12">
        <v>2.5000000000000001E-2</v>
      </c>
      <c r="H798" s="20">
        <v>190</v>
      </c>
      <c r="I798" s="20">
        <v>2000</v>
      </c>
    </row>
    <row r="799" spans="1:9" x14ac:dyDescent="0.3">
      <c r="A799" t="s">
        <v>186</v>
      </c>
      <c r="B799" t="s">
        <v>25</v>
      </c>
      <c r="C799" t="s">
        <v>18</v>
      </c>
      <c r="D799" t="s">
        <v>6</v>
      </c>
      <c r="E799" t="s">
        <v>8</v>
      </c>
      <c r="F799" s="20">
        <v>41</v>
      </c>
      <c r="G799" s="12">
        <v>2.0500000000000001E-2</v>
      </c>
      <c r="H799" s="20">
        <v>290</v>
      </c>
      <c r="I799" s="20">
        <v>2000</v>
      </c>
    </row>
    <row r="800" spans="1:9" x14ac:dyDescent="0.3">
      <c r="D800" t="s">
        <v>232</v>
      </c>
      <c r="F800" s="20">
        <v>41</v>
      </c>
      <c r="G800" s="12">
        <v>2.0500000000000001E-2</v>
      </c>
      <c r="H800" s="20">
        <v>290</v>
      </c>
      <c r="I800" s="20">
        <v>2000</v>
      </c>
    </row>
    <row r="801" spans="1:9" x14ac:dyDescent="0.3">
      <c r="C801" t="s">
        <v>247</v>
      </c>
      <c r="F801" s="20">
        <v>41</v>
      </c>
      <c r="G801" s="12">
        <v>2.0500000000000001E-2</v>
      </c>
      <c r="H801" s="20">
        <v>290</v>
      </c>
      <c r="I801" s="20">
        <v>2000</v>
      </c>
    </row>
    <row r="802" spans="1:9" x14ac:dyDescent="0.3">
      <c r="B802" t="s">
        <v>237</v>
      </c>
      <c r="F802" s="20">
        <v>41</v>
      </c>
      <c r="G802" s="12">
        <v>2.0500000000000001E-2</v>
      </c>
      <c r="H802" s="20">
        <v>290</v>
      </c>
      <c r="I802" s="20">
        <v>2000</v>
      </c>
    </row>
    <row r="803" spans="1:9" x14ac:dyDescent="0.3">
      <c r="A803" t="s">
        <v>405</v>
      </c>
      <c r="F803" s="20">
        <v>41</v>
      </c>
      <c r="G803" s="12">
        <v>2.0500000000000001E-2</v>
      </c>
      <c r="H803" s="20">
        <v>290</v>
      </c>
      <c r="I803" s="20">
        <v>2000</v>
      </c>
    </row>
    <row r="804" spans="1:9" x14ac:dyDescent="0.3">
      <c r="A804" t="s">
        <v>187</v>
      </c>
      <c r="B804" t="s">
        <v>24</v>
      </c>
      <c r="C804" t="s">
        <v>19</v>
      </c>
      <c r="D804" t="s">
        <v>6</v>
      </c>
      <c r="E804" t="s">
        <v>7</v>
      </c>
      <c r="F804" s="20">
        <v>42</v>
      </c>
      <c r="G804" s="12">
        <v>2.1000000000000001E-2</v>
      </c>
      <c r="H804" s="20">
        <v>610</v>
      </c>
      <c r="I804" s="20">
        <v>2000</v>
      </c>
    </row>
    <row r="805" spans="1:9" x14ac:dyDescent="0.3">
      <c r="D805" t="s">
        <v>232</v>
      </c>
      <c r="F805" s="20">
        <v>42</v>
      </c>
      <c r="G805" s="12">
        <v>2.1000000000000001E-2</v>
      </c>
      <c r="H805" s="20">
        <v>610</v>
      </c>
      <c r="I805" s="20">
        <v>2000</v>
      </c>
    </row>
    <row r="806" spans="1:9" x14ac:dyDescent="0.3">
      <c r="C806" t="s">
        <v>249</v>
      </c>
      <c r="F806" s="20">
        <v>42</v>
      </c>
      <c r="G806" s="12">
        <v>2.1000000000000001E-2</v>
      </c>
      <c r="H806" s="20">
        <v>610</v>
      </c>
      <c r="I806" s="20">
        <v>2000</v>
      </c>
    </row>
    <row r="807" spans="1:9" x14ac:dyDescent="0.3">
      <c r="B807" t="s">
        <v>234</v>
      </c>
      <c r="F807" s="20">
        <v>42</v>
      </c>
      <c r="G807" s="12">
        <v>2.1000000000000001E-2</v>
      </c>
      <c r="H807" s="20">
        <v>610</v>
      </c>
      <c r="I807" s="20">
        <v>2000</v>
      </c>
    </row>
    <row r="808" spans="1:9" x14ac:dyDescent="0.3">
      <c r="A808" t="s">
        <v>406</v>
      </c>
      <c r="F808" s="20">
        <v>42</v>
      </c>
      <c r="G808" s="12">
        <v>2.1000000000000001E-2</v>
      </c>
      <c r="H808" s="20">
        <v>610</v>
      </c>
      <c r="I808" s="20">
        <v>2000</v>
      </c>
    </row>
    <row r="809" spans="1:9" x14ac:dyDescent="0.3">
      <c r="A809" t="s">
        <v>188</v>
      </c>
      <c r="B809" t="s">
        <v>25</v>
      </c>
      <c r="C809" t="s">
        <v>21</v>
      </c>
      <c r="D809" t="s">
        <v>6</v>
      </c>
      <c r="E809" t="s">
        <v>8</v>
      </c>
      <c r="F809" s="20">
        <v>43</v>
      </c>
      <c r="G809" s="12">
        <v>2.1499999999999998E-2</v>
      </c>
      <c r="H809" s="20">
        <v>120</v>
      </c>
      <c r="I809" s="20">
        <v>2000</v>
      </c>
    </row>
    <row r="810" spans="1:9" x14ac:dyDescent="0.3">
      <c r="D810" t="s">
        <v>232</v>
      </c>
      <c r="F810" s="20">
        <v>43</v>
      </c>
      <c r="G810" s="12">
        <v>2.1499999999999998E-2</v>
      </c>
      <c r="H810" s="20">
        <v>120</v>
      </c>
      <c r="I810" s="20">
        <v>2000</v>
      </c>
    </row>
    <row r="811" spans="1:9" x14ac:dyDescent="0.3">
      <c r="C811" t="s">
        <v>251</v>
      </c>
      <c r="F811" s="20">
        <v>43</v>
      </c>
      <c r="G811" s="12">
        <v>2.1499999999999998E-2</v>
      </c>
      <c r="H811" s="20">
        <v>120</v>
      </c>
      <c r="I811" s="20">
        <v>2000</v>
      </c>
    </row>
    <row r="812" spans="1:9" x14ac:dyDescent="0.3">
      <c r="B812" t="s">
        <v>237</v>
      </c>
      <c r="F812" s="20">
        <v>43</v>
      </c>
      <c r="G812" s="12">
        <v>2.1499999999999998E-2</v>
      </c>
      <c r="H812" s="20">
        <v>120</v>
      </c>
      <c r="I812" s="20">
        <v>2000</v>
      </c>
    </row>
    <row r="813" spans="1:9" x14ac:dyDescent="0.3">
      <c r="A813" t="s">
        <v>407</v>
      </c>
      <c r="F813" s="20">
        <v>43</v>
      </c>
      <c r="G813" s="12">
        <v>2.1499999999999998E-2</v>
      </c>
      <c r="H813" s="20">
        <v>120</v>
      </c>
      <c r="I813" s="20">
        <v>2000</v>
      </c>
    </row>
    <row r="814" spans="1:9" x14ac:dyDescent="0.3">
      <c r="A814" t="s">
        <v>189</v>
      </c>
      <c r="B814" t="s">
        <v>24</v>
      </c>
      <c r="C814" t="s">
        <v>13</v>
      </c>
      <c r="D814" t="s">
        <v>6</v>
      </c>
      <c r="E814" t="s">
        <v>8</v>
      </c>
      <c r="F814" s="20">
        <v>44</v>
      </c>
      <c r="G814" s="12">
        <v>2.1999999999999999E-2</v>
      </c>
      <c r="H814" s="20">
        <v>480</v>
      </c>
      <c r="I814" s="20">
        <v>2000</v>
      </c>
    </row>
    <row r="815" spans="1:9" x14ac:dyDescent="0.3">
      <c r="D815" t="s">
        <v>232</v>
      </c>
      <c r="F815" s="20">
        <v>44</v>
      </c>
      <c r="G815" s="12">
        <v>2.1999999999999999E-2</v>
      </c>
      <c r="H815" s="20">
        <v>480</v>
      </c>
      <c r="I815" s="20">
        <v>2000</v>
      </c>
    </row>
    <row r="816" spans="1:9" x14ac:dyDescent="0.3">
      <c r="C816" t="s">
        <v>233</v>
      </c>
      <c r="F816" s="20">
        <v>44</v>
      </c>
      <c r="G816" s="12">
        <v>2.1999999999999999E-2</v>
      </c>
      <c r="H816" s="20">
        <v>480</v>
      </c>
      <c r="I816" s="20">
        <v>2000</v>
      </c>
    </row>
    <row r="817" spans="1:9" x14ac:dyDescent="0.3">
      <c r="B817" t="s">
        <v>234</v>
      </c>
      <c r="F817" s="20">
        <v>44</v>
      </c>
      <c r="G817" s="12">
        <v>2.1999999999999999E-2</v>
      </c>
      <c r="H817" s="20">
        <v>480</v>
      </c>
      <c r="I817" s="20">
        <v>2000</v>
      </c>
    </row>
    <row r="818" spans="1:9" x14ac:dyDescent="0.3">
      <c r="A818" t="s">
        <v>408</v>
      </c>
      <c r="F818" s="20">
        <v>44</v>
      </c>
      <c r="G818" s="12">
        <v>2.1999999999999999E-2</v>
      </c>
      <c r="H818" s="20">
        <v>480</v>
      </c>
      <c r="I818" s="20">
        <v>2000</v>
      </c>
    </row>
    <row r="819" spans="1:9" x14ac:dyDescent="0.3">
      <c r="A819" t="s">
        <v>190</v>
      </c>
      <c r="B819" t="s">
        <v>25</v>
      </c>
      <c r="C819" t="s">
        <v>14</v>
      </c>
      <c r="D819" t="s">
        <v>6</v>
      </c>
      <c r="E819" t="s">
        <v>8</v>
      </c>
      <c r="F819" s="20">
        <v>38</v>
      </c>
      <c r="G819" s="12">
        <v>1.9E-2</v>
      </c>
      <c r="H819" s="20">
        <v>150</v>
      </c>
      <c r="I819" s="20">
        <v>2000</v>
      </c>
    </row>
    <row r="820" spans="1:9" x14ac:dyDescent="0.3">
      <c r="D820" t="s">
        <v>232</v>
      </c>
      <c r="F820" s="20">
        <v>38</v>
      </c>
      <c r="G820" s="12">
        <v>1.9E-2</v>
      </c>
      <c r="H820" s="20">
        <v>150</v>
      </c>
      <c r="I820" s="20">
        <v>2000</v>
      </c>
    </row>
    <row r="821" spans="1:9" x14ac:dyDescent="0.3">
      <c r="C821" t="s">
        <v>236</v>
      </c>
      <c r="F821" s="20">
        <v>38</v>
      </c>
      <c r="G821" s="12">
        <v>1.9E-2</v>
      </c>
      <c r="H821" s="20">
        <v>150</v>
      </c>
      <c r="I821" s="20">
        <v>2000</v>
      </c>
    </row>
    <row r="822" spans="1:9" x14ac:dyDescent="0.3">
      <c r="B822" t="s">
        <v>237</v>
      </c>
      <c r="F822" s="20">
        <v>38</v>
      </c>
      <c r="G822" s="12">
        <v>1.9E-2</v>
      </c>
      <c r="H822" s="20">
        <v>150</v>
      </c>
      <c r="I822" s="20">
        <v>2000</v>
      </c>
    </row>
    <row r="823" spans="1:9" x14ac:dyDescent="0.3">
      <c r="A823" t="s">
        <v>409</v>
      </c>
      <c r="F823" s="20">
        <v>38</v>
      </c>
      <c r="G823" s="12">
        <v>1.9E-2</v>
      </c>
      <c r="H823" s="20">
        <v>150</v>
      </c>
      <c r="I823" s="20">
        <v>2000</v>
      </c>
    </row>
    <row r="824" spans="1:9" x14ac:dyDescent="0.3">
      <c r="A824" t="s">
        <v>191</v>
      </c>
      <c r="B824" t="s">
        <v>24</v>
      </c>
      <c r="C824" t="s">
        <v>15</v>
      </c>
      <c r="D824" t="s">
        <v>6</v>
      </c>
      <c r="E824" t="s">
        <v>9</v>
      </c>
      <c r="F824" s="20">
        <v>39</v>
      </c>
      <c r="G824" s="12">
        <v>1.95E-2</v>
      </c>
      <c r="H824" s="20">
        <v>720</v>
      </c>
      <c r="I824" s="20">
        <v>2000</v>
      </c>
    </row>
    <row r="825" spans="1:9" x14ac:dyDescent="0.3">
      <c r="D825" t="s">
        <v>232</v>
      </c>
      <c r="F825" s="20">
        <v>39</v>
      </c>
      <c r="G825" s="12">
        <v>1.95E-2</v>
      </c>
      <c r="H825" s="20">
        <v>720</v>
      </c>
      <c r="I825" s="20">
        <v>2000</v>
      </c>
    </row>
    <row r="826" spans="1:9" x14ac:dyDescent="0.3">
      <c r="C826" t="s">
        <v>239</v>
      </c>
      <c r="F826" s="20">
        <v>39</v>
      </c>
      <c r="G826" s="12">
        <v>1.95E-2</v>
      </c>
      <c r="H826" s="20">
        <v>720</v>
      </c>
      <c r="I826" s="20">
        <v>2000</v>
      </c>
    </row>
    <row r="827" spans="1:9" x14ac:dyDescent="0.3">
      <c r="B827" t="s">
        <v>234</v>
      </c>
      <c r="F827" s="20">
        <v>39</v>
      </c>
      <c r="G827" s="12">
        <v>1.95E-2</v>
      </c>
      <c r="H827" s="20">
        <v>720</v>
      </c>
      <c r="I827" s="20">
        <v>2000</v>
      </c>
    </row>
    <row r="828" spans="1:9" x14ac:dyDescent="0.3">
      <c r="A828" t="s">
        <v>410</v>
      </c>
      <c r="F828" s="20">
        <v>39</v>
      </c>
      <c r="G828" s="12">
        <v>1.95E-2</v>
      </c>
      <c r="H828" s="20">
        <v>720</v>
      </c>
      <c r="I828" s="20">
        <v>2000</v>
      </c>
    </row>
    <row r="829" spans="1:9" x14ac:dyDescent="0.3">
      <c r="A829" t="s">
        <v>192</v>
      </c>
      <c r="B829" t="s">
        <v>25</v>
      </c>
      <c r="C829" t="s">
        <v>16</v>
      </c>
      <c r="D829" t="s">
        <v>6</v>
      </c>
      <c r="E829" t="s">
        <v>7</v>
      </c>
      <c r="F829" s="20">
        <v>40</v>
      </c>
      <c r="G829" s="12">
        <v>0.02</v>
      </c>
      <c r="H829" s="20">
        <v>500</v>
      </c>
      <c r="I829" s="20">
        <v>2000</v>
      </c>
    </row>
    <row r="830" spans="1:9" x14ac:dyDescent="0.3">
      <c r="D830" t="s">
        <v>232</v>
      </c>
      <c r="F830" s="20">
        <v>40</v>
      </c>
      <c r="G830" s="12">
        <v>0.02</v>
      </c>
      <c r="H830" s="20">
        <v>500</v>
      </c>
      <c r="I830" s="20">
        <v>2000</v>
      </c>
    </row>
    <row r="831" spans="1:9" x14ac:dyDescent="0.3">
      <c r="C831" t="s">
        <v>241</v>
      </c>
      <c r="F831" s="20">
        <v>40</v>
      </c>
      <c r="G831" s="12">
        <v>0.02</v>
      </c>
      <c r="H831" s="20">
        <v>500</v>
      </c>
      <c r="I831" s="20">
        <v>2000</v>
      </c>
    </row>
    <row r="832" spans="1:9" x14ac:dyDescent="0.3">
      <c r="B832" t="s">
        <v>237</v>
      </c>
      <c r="F832" s="20">
        <v>40</v>
      </c>
      <c r="G832" s="12">
        <v>0.02</v>
      </c>
      <c r="H832" s="20">
        <v>500</v>
      </c>
      <c r="I832" s="20">
        <v>2000</v>
      </c>
    </row>
    <row r="833" spans="1:9" x14ac:dyDescent="0.3">
      <c r="A833" t="s">
        <v>411</v>
      </c>
      <c r="F833" s="20">
        <v>40</v>
      </c>
      <c r="G833" s="12">
        <v>0.02</v>
      </c>
      <c r="H833" s="20">
        <v>500</v>
      </c>
      <c r="I833" s="20">
        <v>2000</v>
      </c>
    </row>
    <row r="834" spans="1:9" x14ac:dyDescent="0.3">
      <c r="A834" t="s">
        <v>193</v>
      </c>
      <c r="B834" t="s">
        <v>24</v>
      </c>
      <c r="C834" t="s">
        <v>17</v>
      </c>
      <c r="D834" t="s">
        <v>6</v>
      </c>
      <c r="E834" t="s">
        <v>7</v>
      </c>
      <c r="F834" s="20">
        <v>41</v>
      </c>
      <c r="G834" s="12">
        <v>2.0500000000000001E-2</v>
      </c>
      <c r="H834" s="20">
        <v>600</v>
      </c>
      <c r="I834" s="20">
        <v>2000</v>
      </c>
    </row>
    <row r="835" spans="1:9" x14ac:dyDescent="0.3">
      <c r="D835" t="s">
        <v>232</v>
      </c>
      <c r="F835" s="20">
        <v>41</v>
      </c>
      <c r="G835" s="12">
        <v>2.0500000000000001E-2</v>
      </c>
      <c r="H835" s="20">
        <v>600</v>
      </c>
      <c r="I835" s="20">
        <v>2000</v>
      </c>
    </row>
    <row r="836" spans="1:9" x14ac:dyDescent="0.3">
      <c r="C836" t="s">
        <v>243</v>
      </c>
      <c r="F836" s="20">
        <v>41</v>
      </c>
      <c r="G836" s="12">
        <v>2.0500000000000001E-2</v>
      </c>
      <c r="H836" s="20">
        <v>600</v>
      </c>
      <c r="I836" s="20">
        <v>2000</v>
      </c>
    </row>
    <row r="837" spans="1:9" x14ac:dyDescent="0.3">
      <c r="B837" t="s">
        <v>234</v>
      </c>
      <c r="F837" s="20">
        <v>41</v>
      </c>
      <c r="G837" s="12">
        <v>2.0500000000000001E-2</v>
      </c>
      <c r="H837" s="20">
        <v>600</v>
      </c>
      <c r="I837" s="20">
        <v>2000</v>
      </c>
    </row>
    <row r="838" spans="1:9" x14ac:dyDescent="0.3">
      <c r="A838" t="s">
        <v>412</v>
      </c>
      <c r="F838" s="20">
        <v>41</v>
      </c>
      <c r="G838" s="12">
        <v>2.0500000000000001E-2</v>
      </c>
      <c r="H838" s="20">
        <v>600</v>
      </c>
      <c r="I838" s="20">
        <v>2000</v>
      </c>
    </row>
    <row r="839" spans="1:9" x14ac:dyDescent="0.3">
      <c r="A839" t="s">
        <v>194</v>
      </c>
      <c r="B839" t="s">
        <v>25</v>
      </c>
      <c r="C839" t="s">
        <v>20</v>
      </c>
      <c r="D839" t="s">
        <v>6</v>
      </c>
      <c r="E839" t="s">
        <v>9</v>
      </c>
      <c r="F839" s="20">
        <v>42</v>
      </c>
      <c r="G839" s="12">
        <v>2.1000000000000001E-2</v>
      </c>
      <c r="H839" s="20">
        <v>700</v>
      </c>
      <c r="I839" s="20">
        <v>2000</v>
      </c>
    </row>
    <row r="840" spans="1:9" x14ac:dyDescent="0.3">
      <c r="D840" t="s">
        <v>232</v>
      </c>
      <c r="F840" s="20">
        <v>42</v>
      </c>
      <c r="G840" s="12">
        <v>2.1000000000000001E-2</v>
      </c>
      <c r="H840" s="20">
        <v>700</v>
      </c>
      <c r="I840" s="20">
        <v>2000</v>
      </c>
    </row>
    <row r="841" spans="1:9" x14ac:dyDescent="0.3">
      <c r="C841" t="s">
        <v>245</v>
      </c>
      <c r="F841" s="20">
        <v>42</v>
      </c>
      <c r="G841" s="12">
        <v>2.1000000000000001E-2</v>
      </c>
      <c r="H841" s="20">
        <v>700</v>
      </c>
      <c r="I841" s="20">
        <v>2000</v>
      </c>
    </row>
    <row r="842" spans="1:9" x14ac:dyDescent="0.3">
      <c r="B842" t="s">
        <v>237</v>
      </c>
      <c r="F842" s="20">
        <v>42</v>
      </c>
      <c r="G842" s="12">
        <v>2.1000000000000001E-2</v>
      </c>
      <c r="H842" s="20">
        <v>700</v>
      </c>
      <c r="I842" s="20">
        <v>2000</v>
      </c>
    </row>
    <row r="843" spans="1:9" x14ac:dyDescent="0.3">
      <c r="A843" t="s">
        <v>413</v>
      </c>
      <c r="F843" s="20">
        <v>42</v>
      </c>
      <c r="G843" s="12">
        <v>2.1000000000000001E-2</v>
      </c>
      <c r="H843" s="20">
        <v>700</v>
      </c>
      <c r="I843" s="20">
        <v>2000</v>
      </c>
    </row>
    <row r="844" spans="1:9" x14ac:dyDescent="0.3">
      <c r="A844" t="s">
        <v>195</v>
      </c>
      <c r="B844" t="s">
        <v>24</v>
      </c>
      <c r="C844" t="s">
        <v>18</v>
      </c>
      <c r="D844" t="s">
        <v>6</v>
      </c>
      <c r="E844" t="s">
        <v>9</v>
      </c>
      <c r="F844" s="20">
        <v>43</v>
      </c>
      <c r="G844" s="12">
        <v>2.1499999999999998E-2</v>
      </c>
      <c r="H844" s="20">
        <v>800</v>
      </c>
      <c r="I844" s="20">
        <v>2000</v>
      </c>
    </row>
    <row r="845" spans="1:9" x14ac:dyDescent="0.3">
      <c r="D845" t="s">
        <v>232</v>
      </c>
      <c r="F845" s="20">
        <v>43</v>
      </c>
      <c r="G845" s="12">
        <v>2.1499999999999998E-2</v>
      </c>
      <c r="H845" s="20">
        <v>800</v>
      </c>
      <c r="I845" s="20">
        <v>2000</v>
      </c>
    </row>
    <row r="846" spans="1:9" x14ac:dyDescent="0.3">
      <c r="C846" t="s">
        <v>247</v>
      </c>
      <c r="F846" s="20">
        <v>43</v>
      </c>
      <c r="G846" s="12">
        <v>2.1499999999999998E-2</v>
      </c>
      <c r="H846" s="20">
        <v>800</v>
      </c>
      <c r="I846" s="20">
        <v>2000</v>
      </c>
    </row>
    <row r="847" spans="1:9" x14ac:dyDescent="0.3">
      <c r="B847" t="s">
        <v>234</v>
      </c>
      <c r="F847" s="20">
        <v>43</v>
      </c>
      <c r="G847" s="12">
        <v>2.1499999999999998E-2</v>
      </c>
      <c r="H847" s="20">
        <v>800</v>
      </c>
      <c r="I847" s="20">
        <v>2000</v>
      </c>
    </row>
    <row r="848" spans="1:9" x14ac:dyDescent="0.3">
      <c r="A848" t="s">
        <v>414</v>
      </c>
      <c r="F848" s="20">
        <v>43</v>
      </c>
      <c r="G848" s="12">
        <v>2.1499999999999998E-2</v>
      </c>
      <c r="H848" s="20">
        <v>800</v>
      </c>
      <c r="I848" s="20">
        <v>2000</v>
      </c>
    </row>
    <row r="849" spans="1:9" x14ac:dyDescent="0.3">
      <c r="A849" t="s">
        <v>196</v>
      </c>
      <c r="B849" t="s">
        <v>25</v>
      </c>
      <c r="C849" t="s">
        <v>19</v>
      </c>
      <c r="D849" t="s">
        <v>6</v>
      </c>
      <c r="E849" t="s">
        <v>9</v>
      </c>
      <c r="F849" s="20">
        <v>44</v>
      </c>
      <c r="G849" s="12">
        <v>2.1999999999999999E-2</v>
      </c>
      <c r="H849" s="20">
        <v>900</v>
      </c>
      <c r="I849" s="20">
        <v>2000</v>
      </c>
    </row>
    <row r="850" spans="1:9" x14ac:dyDescent="0.3">
      <c r="D850" t="s">
        <v>232</v>
      </c>
      <c r="F850" s="20">
        <v>44</v>
      </c>
      <c r="G850" s="12">
        <v>2.1999999999999999E-2</v>
      </c>
      <c r="H850" s="20">
        <v>900</v>
      </c>
      <c r="I850" s="20">
        <v>2000</v>
      </c>
    </row>
    <row r="851" spans="1:9" x14ac:dyDescent="0.3">
      <c r="C851" t="s">
        <v>249</v>
      </c>
      <c r="F851" s="20">
        <v>44</v>
      </c>
      <c r="G851" s="12">
        <v>2.1999999999999999E-2</v>
      </c>
      <c r="H851" s="20">
        <v>900</v>
      </c>
      <c r="I851" s="20">
        <v>2000</v>
      </c>
    </row>
    <row r="852" spans="1:9" x14ac:dyDescent="0.3">
      <c r="B852" t="s">
        <v>237</v>
      </c>
      <c r="F852" s="20">
        <v>44</v>
      </c>
      <c r="G852" s="12">
        <v>2.1999999999999999E-2</v>
      </c>
      <c r="H852" s="20">
        <v>900</v>
      </c>
      <c r="I852" s="20">
        <v>2000</v>
      </c>
    </row>
    <row r="853" spans="1:9" x14ac:dyDescent="0.3">
      <c r="A853" t="s">
        <v>415</v>
      </c>
      <c r="F853" s="20">
        <v>44</v>
      </c>
      <c r="G853" s="12">
        <v>2.1999999999999999E-2</v>
      </c>
      <c r="H853" s="20">
        <v>900</v>
      </c>
      <c r="I853" s="20">
        <v>2000</v>
      </c>
    </row>
    <row r="854" spans="1:9" x14ac:dyDescent="0.3">
      <c r="A854" t="s">
        <v>197</v>
      </c>
      <c r="B854" t="s">
        <v>24</v>
      </c>
      <c r="C854" t="s">
        <v>21</v>
      </c>
      <c r="D854" t="s">
        <v>6</v>
      </c>
      <c r="E854" t="s">
        <v>7</v>
      </c>
      <c r="F854" s="20">
        <v>45</v>
      </c>
      <c r="G854" s="12">
        <v>2.2499999999999999E-2</v>
      </c>
      <c r="H854" s="20">
        <v>680</v>
      </c>
      <c r="I854" s="20">
        <v>2000</v>
      </c>
    </row>
    <row r="855" spans="1:9" x14ac:dyDescent="0.3">
      <c r="D855" t="s">
        <v>232</v>
      </c>
      <c r="F855" s="20">
        <v>45</v>
      </c>
      <c r="G855" s="12">
        <v>2.2499999999999999E-2</v>
      </c>
      <c r="H855" s="20">
        <v>680</v>
      </c>
      <c r="I855" s="20">
        <v>2000</v>
      </c>
    </row>
    <row r="856" spans="1:9" x14ac:dyDescent="0.3">
      <c r="C856" t="s">
        <v>251</v>
      </c>
      <c r="F856" s="20">
        <v>45</v>
      </c>
      <c r="G856" s="12">
        <v>2.2499999999999999E-2</v>
      </c>
      <c r="H856" s="20">
        <v>680</v>
      </c>
      <c r="I856" s="20">
        <v>2000</v>
      </c>
    </row>
    <row r="857" spans="1:9" x14ac:dyDescent="0.3">
      <c r="B857" t="s">
        <v>234</v>
      </c>
      <c r="F857" s="20">
        <v>45</v>
      </c>
      <c r="G857" s="12">
        <v>2.2499999999999999E-2</v>
      </c>
      <c r="H857" s="20">
        <v>680</v>
      </c>
      <c r="I857" s="20">
        <v>2000</v>
      </c>
    </row>
    <row r="858" spans="1:9" x14ac:dyDescent="0.3">
      <c r="A858" t="s">
        <v>416</v>
      </c>
      <c r="F858" s="20">
        <v>45</v>
      </c>
      <c r="G858" s="12">
        <v>2.2499999999999999E-2</v>
      </c>
      <c r="H858" s="20">
        <v>680</v>
      </c>
      <c r="I858" s="20">
        <v>2000</v>
      </c>
    </row>
    <row r="859" spans="1:9" x14ac:dyDescent="0.3">
      <c r="A859" t="s">
        <v>198</v>
      </c>
      <c r="B859" t="s">
        <v>25</v>
      </c>
      <c r="C859" t="s">
        <v>13</v>
      </c>
      <c r="D859" t="s">
        <v>6</v>
      </c>
      <c r="E859" t="s">
        <v>8</v>
      </c>
      <c r="F859" s="20">
        <v>46</v>
      </c>
      <c r="G859" s="12">
        <v>2.3E-2</v>
      </c>
      <c r="H859" s="20">
        <v>250</v>
      </c>
      <c r="I859" s="20">
        <v>2000</v>
      </c>
    </row>
    <row r="860" spans="1:9" x14ac:dyDescent="0.3">
      <c r="D860" t="s">
        <v>232</v>
      </c>
      <c r="F860" s="20">
        <v>46</v>
      </c>
      <c r="G860" s="12">
        <v>2.3E-2</v>
      </c>
      <c r="H860" s="20">
        <v>250</v>
      </c>
      <c r="I860" s="20">
        <v>2000</v>
      </c>
    </row>
    <row r="861" spans="1:9" x14ac:dyDescent="0.3">
      <c r="C861" t="s">
        <v>233</v>
      </c>
      <c r="F861" s="20">
        <v>46</v>
      </c>
      <c r="G861" s="12">
        <v>2.3E-2</v>
      </c>
      <c r="H861" s="20">
        <v>250</v>
      </c>
      <c r="I861" s="20">
        <v>2000</v>
      </c>
    </row>
    <row r="862" spans="1:9" x14ac:dyDescent="0.3">
      <c r="B862" t="s">
        <v>237</v>
      </c>
      <c r="F862" s="20">
        <v>46</v>
      </c>
      <c r="G862" s="12">
        <v>2.3E-2</v>
      </c>
      <c r="H862" s="20">
        <v>250</v>
      </c>
      <c r="I862" s="20">
        <v>2000</v>
      </c>
    </row>
    <row r="863" spans="1:9" x14ac:dyDescent="0.3">
      <c r="A863" t="s">
        <v>417</v>
      </c>
      <c r="F863" s="20">
        <v>46</v>
      </c>
      <c r="G863" s="12">
        <v>2.3E-2</v>
      </c>
      <c r="H863" s="20">
        <v>250</v>
      </c>
      <c r="I863" s="20">
        <v>2000</v>
      </c>
    </row>
    <row r="864" spans="1:9" x14ac:dyDescent="0.3">
      <c r="A864" t="s">
        <v>199</v>
      </c>
      <c r="B864" t="s">
        <v>24</v>
      </c>
      <c r="C864" t="s">
        <v>14</v>
      </c>
      <c r="D864" t="s">
        <v>6</v>
      </c>
      <c r="E864" t="s">
        <v>9</v>
      </c>
      <c r="F864" s="20">
        <v>47</v>
      </c>
      <c r="G864" s="12">
        <v>2.35E-2</v>
      </c>
      <c r="H864" s="20">
        <v>890</v>
      </c>
      <c r="I864" s="20">
        <v>2000</v>
      </c>
    </row>
    <row r="865" spans="1:9" x14ac:dyDescent="0.3">
      <c r="D865" t="s">
        <v>232</v>
      </c>
      <c r="F865" s="20">
        <v>47</v>
      </c>
      <c r="G865" s="12">
        <v>2.35E-2</v>
      </c>
      <c r="H865" s="20">
        <v>890</v>
      </c>
      <c r="I865" s="20">
        <v>2000</v>
      </c>
    </row>
    <row r="866" spans="1:9" x14ac:dyDescent="0.3">
      <c r="C866" t="s">
        <v>236</v>
      </c>
      <c r="F866" s="20">
        <v>47</v>
      </c>
      <c r="G866" s="12">
        <v>2.35E-2</v>
      </c>
      <c r="H866" s="20">
        <v>890</v>
      </c>
      <c r="I866" s="20">
        <v>2000</v>
      </c>
    </row>
    <row r="867" spans="1:9" x14ac:dyDescent="0.3">
      <c r="B867" t="s">
        <v>234</v>
      </c>
      <c r="F867" s="20">
        <v>47</v>
      </c>
      <c r="G867" s="12">
        <v>2.35E-2</v>
      </c>
      <c r="H867" s="20">
        <v>890</v>
      </c>
      <c r="I867" s="20">
        <v>2000</v>
      </c>
    </row>
    <row r="868" spans="1:9" x14ac:dyDescent="0.3">
      <c r="A868" t="s">
        <v>418</v>
      </c>
      <c r="F868" s="20">
        <v>47</v>
      </c>
      <c r="G868" s="12">
        <v>2.35E-2</v>
      </c>
      <c r="H868" s="20">
        <v>890</v>
      </c>
      <c r="I868" s="20">
        <v>2000</v>
      </c>
    </row>
    <row r="869" spans="1:9" x14ac:dyDescent="0.3">
      <c r="A869" t="s">
        <v>200</v>
      </c>
      <c r="B869" t="s">
        <v>25</v>
      </c>
      <c r="C869" t="s">
        <v>15</v>
      </c>
      <c r="D869" t="s">
        <v>6</v>
      </c>
      <c r="E869" t="s">
        <v>8</v>
      </c>
      <c r="F869" s="20">
        <v>48</v>
      </c>
      <c r="G869" s="12">
        <v>2.4E-2</v>
      </c>
      <c r="H869" s="20">
        <v>340</v>
      </c>
      <c r="I869" s="20">
        <v>2000</v>
      </c>
    </row>
    <row r="870" spans="1:9" x14ac:dyDescent="0.3">
      <c r="D870" t="s">
        <v>232</v>
      </c>
      <c r="F870" s="20">
        <v>48</v>
      </c>
      <c r="G870" s="12">
        <v>2.4E-2</v>
      </c>
      <c r="H870" s="20">
        <v>340</v>
      </c>
      <c r="I870" s="20">
        <v>2000</v>
      </c>
    </row>
    <row r="871" spans="1:9" x14ac:dyDescent="0.3">
      <c r="C871" t="s">
        <v>239</v>
      </c>
      <c r="F871" s="20">
        <v>48</v>
      </c>
      <c r="G871" s="12">
        <v>2.4E-2</v>
      </c>
      <c r="H871" s="20">
        <v>340</v>
      </c>
      <c r="I871" s="20">
        <v>2000</v>
      </c>
    </row>
    <row r="872" spans="1:9" x14ac:dyDescent="0.3">
      <c r="B872" t="s">
        <v>237</v>
      </c>
      <c r="F872" s="20">
        <v>48</v>
      </c>
      <c r="G872" s="12">
        <v>2.4E-2</v>
      </c>
      <c r="H872" s="20">
        <v>340</v>
      </c>
      <c r="I872" s="20">
        <v>2000</v>
      </c>
    </row>
    <row r="873" spans="1:9" x14ac:dyDescent="0.3">
      <c r="A873" t="s">
        <v>419</v>
      </c>
      <c r="F873" s="20">
        <v>48</v>
      </c>
      <c r="G873" s="12">
        <v>2.4E-2</v>
      </c>
      <c r="H873" s="20">
        <v>340</v>
      </c>
      <c r="I873" s="20">
        <v>2000</v>
      </c>
    </row>
    <row r="874" spans="1:9" x14ac:dyDescent="0.3">
      <c r="A874" t="s">
        <v>201</v>
      </c>
      <c r="B874" t="s">
        <v>24</v>
      </c>
      <c r="C874" t="s">
        <v>16</v>
      </c>
      <c r="D874" t="s">
        <v>6</v>
      </c>
      <c r="E874" t="s">
        <v>8</v>
      </c>
      <c r="F874" s="20">
        <v>49</v>
      </c>
      <c r="G874" s="12">
        <v>2.4500000000000001E-2</v>
      </c>
      <c r="H874" s="20">
        <v>275</v>
      </c>
      <c r="I874" s="20">
        <v>2000</v>
      </c>
    </row>
    <row r="875" spans="1:9" x14ac:dyDescent="0.3">
      <c r="D875" t="s">
        <v>232</v>
      </c>
      <c r="F875" s="20">
        <v>49</v>
      </c>
      <c r="G875" s="12">
        <v>2.4500000000000001E-2</v>
      </c>
      <c r="H875" s="20">
        <v>275</v>
      </c>
      <c r="I875" s="20">
        <v>2000</v>
      </c>
    </row>
    <row r="876" spans="1:9" x14ac:dyDescent="0.3">
      <c r="C876" t="s">
        <v>241</v>
      </c>
      <c r="F876" s="20">
        <v>49</v>
      </c>
      <c r="G876" s="12">
        <v>2.4500000000000001E-2</v>
      </c>
      <c r="H876" s="20">
        <v>275</v>
      </c>
      <c r="I876" s="20">
        <v>2000</v>
      </c>
    </row>
    <row r="877" spans="1:9" x14ac:dyDescent="0.3">
      <c r="B877" t="s">
        <v>234</v>
      </c>
      <c r="F877" s="20">
        <v>49</v>
      </c>
      <c r="G877" s="12">
        <v>2.4500000000000001E-2</v>
      </c>
      <c r="H877" s="20">
        <v>275</v>
      </c>
      <c r="I877" s="20">
        <v>2000</v>
      </c>
    </row>
    <row r="878" spans="1:9" x14ac:dyDescent="0.3">
      <c r="A878" t="s">
        <v>420</v>
      </c>
      <c r="F878" s="20">
        <v>49</v>
      </c>
      <c r="G878" s="12">
        <v>2.4500000000000001E-2</v>
      </c>
      <c r="H878" s="20">
        <v>275</v>
      </c>
      <c r="I878" s="20">
        <v>2000</v>
      </c>
    </row>
    <row r="879" spans="1:9" x14ac:dyDescent="0.3">
      <c r="A879" t="s">
        <v>202</v>
      </c>
      <c r="B879" t="s">
        <v>25</v>
      </c>
      <c r="C879" t="s">
        <v>17</v>
      </c>
      <c r="D879" t="s">
        <v>10</v>
      </c>
      <c r="E879" t="s">
        <v>7</v>
      </c>
      <c r="F879" s="20">
        <v>50</v>
      </c>
      <c r="G879" s="12">
        <v>2.5000000000000001E-2</v>
      </c>
      <c r="H879" s="20">
        <v>600</v>
      </c>
      <c r="I879" s="20">
        <v>2000</v>
      </c>
    </row>
    <row r="880" spans="1:9" x14ac:dyDescent="0.3">
      <c r="D880" t="s">
        <v>269</v>
      </c>
      <c r="F880" s="20">
        <v>50</v>
      </c>
      <c r="G880" s="12">
        <v>2.5000000000000001E-2</v>
      </c>
      <c r="H880" s="20">
        <v>600</v>
      </c>
      <c r="I880" s="20">
        <v>2000</v>
      </c>
    </row>
    <row r="881" spans="1:9" x14ac:dyDescent="0.3">
      <c r="C881" t="s">
        <v>243</v>
      </c>
      <c r="F881" s="20">
        <v>50</v>
      </c>
      <c r="G881" s="12">
        <v>2.5000000000000001E-2</v>
      </c>
      <c r="H881" s="20">
        <v>600</v>
      </c>
      <c r="I881" s="20">
        <v>2000</v>
      </c>
    </row>
    <row r="882" spans="1:9" x14ac:dyDescent="0.3">
      <c r="B882" t="s">
        <v>237</v>
      </c>
      <c r="F882" s="20">
        <v>50</v>
      </c>
      <c r="G882" s="12">
        <v>2.5000000000000001E-2</v>
      </c>
      <c r="H882" s="20">
        <v>600</v>
      </c>
      <c r="I882" s="20">
        <v>2000</v>
      </c>
    </row>
    <row r="883" spans="1:9" x14ac:dyDescent="0.3">
      <c r="A883" t="s">
        <v>421</v>
      </c>
      <c r="F883" s="20">
        <v>50</v>
      </c>
      <c r="G883" s="12">
        <v>2.5000000000000001E-2</v>
      </c>
      <c r="H883" s="20">
        <v>600</v>
      </c>
      <c r="I883" s="20">
        <v>2000</v>
      </c>
    </row>
    <row r="884" spans="1:9" x14ac:dyDescent="0.3">
      <c r="A884" t="s">
        <v>203</v>
      </c>
      <c r="B884" t="s">
        <v>24</v>
      </c>
      <c r="C884" t="s">
        <v>20</v>
      </c>
      <c r="D884" t="s">
        <v>10</v>
      </c>
      <c r="E884" t="s">
        <v>8</v>
      </c>
      <c r="F884" s="20">
        <v>51</v>
      </c>
      <c r="G884" s="12">
        <v>2.5499999999999998E-2</v>
      </c>
      <c r="H884" s="20">
        <v>115</v>
      </c>
      <c r="I884" s="20">
        <v>2000</v>
      </c>
    </row>
    <row r="885" spans="1:9" x14ac:dyDescent="0.3">
      <c r="D885" t="s">
        <v>269</v>
      </c>
      <c r="F885" s="20">
        <v>51</v>
      </c>
      <c r="G885" s="12">
        <v>2.5499999999999998E-2</v>
      </c>
      <c r="H885" s="20">
        <v>115</v>
      </c>
      <c r="I885" s="20">
        <v>2000</v>
      </c>
    </row>
    <row r="886" spans="1:9" x14ac:dyDescent="0.3">
      <c r="C886" t="s">
        <v>245</v>
      </c>
      <c r="F886" s="20">
        <v>51</v>
      </c>
      <c r="G886" s="12">
        <v>2.5499999999999998E-2</v>
      </c>
      <c r="H886" s="20">
        <v>115</v>
      </c>
      <c r="I886" s="20">
        <v>2000</v>
      </c>
    </row>
    <row r="887" spans="1:9" x14ac:dyDescent="0.3">
      <c r="B887" t="s">
        <v>234</v>
      </c>
      <c r="F887" s="20">
        <v>51</v>
      </c>
      <c r="G887" s="12">
        <v>2.5499999999999998E-2</v>
      </c>
      <c r="H887" s="20">
        <v>115</v>
      </c>
      <c r="I887" s="20">
        <v>2000</v>
      </c>
    </row>
    <row r="888" spans="1:9" x14ac:dyDescent="0.3">
      <c r="A888" t="s">
        <v>422</v>
      </c>
      <c r="F888" s="20">
        <v>51</v>
      </c>
      <c r="G888" s="12">
        <v>2.5499999999999998E-2</v>
      </c>
      <c r="H888" s="20">
        <v>115</v>
      </c>
      <c r="I888" s="20">
        <v>2000</v>
      </c>
    </row>
    <row r="889" spans="1:9" x14ac:dyDescent="0.3">
      <c r="A889" t="s">
        <v>204</v>
      </c>
      <c r="B889" t="s">
        <v>25</v>
      </c>
      <c r="C889" t="s">
        <v>18</v>
      </c>
      <c r="D889" t="s">
        <v>10</v>
      </c>
      <c r="E889" t="s">
        <v>9</v>
      </c>
      <c r="F889" s="20">
        <v>52</v>
      </c>
      <c r="G889" s="12">
        <v>2.5999999999999999E-2</v>
      </c>
      <c r="H889" s="20">
        <v>920</v>
      </c>
      <c r="I889" s="20">
        <v>2000</v>
      </c>
    </row>
    <row r="890" spans="1:9" x14ac:dyDescent="0.3">
      <c r="D890" t="s">
        <v>269</v>
      </c>
      <c r="F890" s="20">
        <v>52</v>
      </c>
      <c r="G890" s="12">
        <v>2.5999999999999999E-2</v>
      </c>
      <c r="H890" s="20">
        <v>920</v>
      </c>
      <c r="I890" s="20">
        <v>2000</v>
      </c>
    </row>
    <row r="891" spans="1:9" x14ac:dyDescent="0.3">
      <c r="C891" t="s">
        <v>247</v>
      </c>
      <c r="F891" s="20">
        <v>52</v>
      </c>
      <c r="G891" s="12">
        <v>2.5999999999999999E-2</v>
      </c>
      <c r="H891" s="20">
        <v>920</v>
      </c>
      <c r="I891" s="20">
        <v>2000</v>
      </c>
    </row>
    <row r="892" spans="1:9" x14ac:dyDescent="0.3">
      <c r="B892" t="s">
        <v>237</v>
      </c>
      <c r="F892" s="20">
        <v>52</v>
      </c>
      <c r="G892" s="12">
        <v>2.5999999999999999E-2</v>
      </c>
      <c r="H892" s="20">
        <v>920</v>
      </c>
      <c r="I892" s="20">
        <v>2000</v>
      </c>
    </row>
    <row r="893" spans="1:9" x14ac:dyDescent="0.3">
      <c r="A893" t="s">
        <v>423</v>
      </c>
      <c r="F893" s="20">
        <v>52</v>
      </c>
      <c r="G893" s="12">
        <v>2.5999999999999999E-2</v>
      </c>
      <c r="H893" s="20">
        <v>920</v>
      </c>
      <c r="I893" s="20">
        <v>2000</v>
      </c>
    </row>
    <row r="894" spans="1:9" x14ac:dyDescent="0.3">
      <c r="A894" t="s">
        <v>205</v>
      </c>
      <c r="B894" t="s">
        <v>24</v>
      </c>
      <c r="C894" t="s">
        <v>19</v>
      </c>
      <c r="D894" t="s">
        <v>10</v>
      </c>
      <c r="E894" t="s">
        <v>8</v>
      </c>
      <c r="F894" s="20">
        <v>53</v>
      </c>
      <c r="G894" s="12">
        <v>2.6499999999999999E-2</v>
      </c>
      <c r="H894" s="20">
        <v>190</v>
      </c>
      <c r="I894" s="20">
        <v>2000</v>
      </c>
    </row>
    <row r="895" spans="1:9" x14ac:dyDescent="0.3">
      <c r="D895" t="s">
        <v>269</v>
      </c>
      <c r="F895" s="20">
        <v>53</v>
      </c>
      <c r="G895" s="12">
        <v>2.6499999999999999E-2</v>
      </c>
      <c r="H895" s="20">
        <v>190</v>
      </c>
      <c r="I895" s="20">
        <v>2000</v>
      </c>
    </row>
    <row r="896" spans="1:9" x14ac:dyDescent="0.3">
      <c r="C896" t="s">
        <v>249</v>
      </c>
      <c r="F896" s="20">
        <v>53</v>
      </c>
      <c r="G896" s="12">
        <v>2.6499999999999999E-2</v>
      </c>
      <c r="H896" s="20">
        <v>190</v>
      </c>
      <c r="I896" s="20">
        <v>2000</v>
      </c>
    </row>
    <row r="897" spans="1:9" x14ac:dyDescent="0.3">
      <c r="B897" t="s">
        <v>234</v>
      </c>
      <c r="F897" s="20">
        <v>53</v>
      </c>
      <c r="G897" s="12">
        <v>2.6499999999999999E-2</v>
      </c>
      <c r="H897" s="20">
        <v>190</v>
      </c>
      <c r="I897" s="20">
        <v>2000</v>
      </c>
    </row>
    <row r="898" spans="1:9" x14ac:dyDescent="0.3">
      <c r="A898" t="s">
        <v>424</v>
      </c>
      <c r="F898" s="20">
        <v>53</v>
      </c>
      <c r="G898" s="12">
        <v>2.6499999999999999E-2</v>
      </c>
      <c r="H898" s="20">
        <v>190</v>
      </c>
      <c r="I898" s="20">
        <v>2000</v>
      </c>
    </row>
    <row r="899" spans="1:9" x14ac:dyDescent="0.3">
      <c r="A899" t="s">
        <v>206</v>
      </c>
      <c r="B899" t="s">
        <v>25</v>
      </c>
      <c r="C899" t="s">
        <v>21</v>
      </c>
      <c r="D899" t="s">
        <v>10</v>
      </c>
      <c r="E899" t="s">
        <v>8</v>
      </c>
      <c r="F899" s="20">
        <v>54</v>
      </c>
      <c r="G899" s="12">
        <v>2.7E-2</v>
      </c>
      <c r="H899" s="20">
        <v>290</v>
      </c>
      <c r="I899" s="20">
        <v>2000</v>
      </c>
    </row>
    <row r="900" spans="1:9" x14ac:dyDescent="0.3">
      <c r="D900" t="s">
        <v>269</v>
      </c>
      <c r="F900" s="20">
        <v>54</v>
      </c>
      <c r="G900" s="12">
        <v>2.7E-2</v>
      </c>
      <c r="H900" s="20">
        <v>290</v>
      </c>
      <c r="I900" s="20">
        <v>2000</v>
      </c>
    </row>
    <row r="901" spans="1:9" x14ac:dyDescent="0.3">
      <c r="C901" t="s">
        <v>251</v>
      </c>
      <c r="F901" s="20">
        <v>54</v>
      </c>
      <c r="G901" s="12">
        <v>2.7E-2</v>
      </c>
      <c r="H901" s="20">
        <v>290</v>
      </c>
      <c r="I901" s="20">
        <v>2000</v>
      </c>
    </row>
    <row r="902" spans="1:9" x14ac:dyDescent="0.3">
      <c r="B902" t="s">
        <v>237</v>
      </c>
      <c r="F902" s="20">
        <v>54</v>
      </c>
      <c r="G902" s="12">
        <v>2.7E-2</v>
      </c>
      <c r="H902" s="20">
        <v>290</v>
      </c>
      <c r="I902" s="20">
        <v>2000</v>
      </c>
    </row>
    <row r="903" spans="1:9" x14ac:dyDescent="0.3">
      <c r="A903" t="s">
        <v>425</v>
      </c>
      <c r="F903" s="20">
        <v>54</v>
      </c>
      <c r="G903" s="12">
        <v>2.7E-2</v>
      </c>
      <c r="H903" s="20">
        <v>290</v>
      </c>
      <c r="I903" s="20">
        <v>2000</v>
      </c>
    </row>
    <row r="904" spans="1:9" x14ac:dyDescent="0.3">
      <c r="A904" t="s">
        <v>207</v>
      </c>
      <c r="B904" t="s">
        <v>24</v>
      </c>
      <c r="C904" t="s">
        <v>13</v>
      </c>
      <c r="D904" t="s">
        <v>10</v>
      </c>
      <c r="E904" t="s">
        <v>7</v>
      </c>
      <c r="F904" s="20">
        <v>55</v>
      </c>
      <c r="G904" s="12">
        <v>2.75E-2</v>
      </c>
      <c r="H904" s="20">
        <v>610</v>
      </c>
      <c r="I904" s="20">
        <v>2000</v>
      </c>
    </row>
    <row r="905" spans="1:9" x14ac:dyDescent="0.3">
      <c r="D905" t="s">
        <v>269</v>
      </c>
      <c r="F905" s="20">
        <v>55</v>
      </c>
      <c r="G905" s="12">
        <v>2.75E-2</v>
      </c>
      <c r="H905" s="20">
        <v>610</v>
      </c>
      <c r="I905" s="20">
        <v>2000</v>
      </c>
    </row>
    <row r="906" spans="1:9" x14ac:dyDescent="0.3">
      <c r="C906" t="s">
        <v>233</v>
      </c>
      <c r="F906" s="20">
        <v>55</v>
      </c>
      <c r="G906" s="12">
        <v>2.75E-2</v>
      </c>
      <c r="H906" s="20">
        <v>610</v>
      </c>
      <c r="I906" s="20">
        <v>2000</v>
      </c>
    </row>
    <row r="907" spans="1:9" x14ac:dyDescent="0.3">
      <c r="B907" t="s">
        <v>234</v>
      </c>
      <c r="F907" s="20">
        <v>55</v>
      </c>
      <c r="G907" s="12">
        <v>2.75E-2</v>
      </c>
      <c r="H907" s="20">
        <v>610</v>
      </c>
      <c r="I907" s="20">
        <v>2000</v>
      </c>
    </row>
    <row r="908" spans="1:9" x14ac:dyDescent="0.3">
      <c r="A908" t="s">
        <v>426</v>
      </c>
      <c r="F908" s="20">
        <v>55</v>
      </c>
      <c r="G908" s="12">
        <v>2.75E-2</v>
      </c>
      <c r="H908" s="20">
        <v>610</v>
      </c>
      <c r="I908" s="20">
        <v>2000</v>
      </c>
    </row>
    <row r="909" spans="1:9" x14ac:dyDescent="0.3">
      <c r="A909" t="s">
        <v>208</v>
      </c>
      <c r="B909" t="s">
        <v>25</v>
      </c>
      <c r="C909" t="s">
        <v>14</v>
      </c>
      <c r="D909" t="s">
        <v>10</v>
      </c>
      <c r="E909" t="s">
        <v>8</v>
      </c>
      <c r="F909" s="20">
        <v>56</v>
      </c>
      <c r="G909" s="12">
        <v>2.8000000000000001E-2</v>
      </c>
      <c r="H909" s="20">
        <v>120</v>
      </c>
      <c r="I909" s="20">
        <v>2000</v>
      </c>
    </row>
    <row r="910" spans="1:9" x14ac:dyDescent="0.3">
      <c r="D910" t="s">
        <v>269</v>
      </c>
      <c r="F910" s="20">
        <v>56</v>
      </c>
      <c r="G910" s="12">
        <v>2.8000000000000001E-2</v>
      </c>
      <c r="H910" s="20">
        <v>120</v>
      </c>
      <c r="I910" s="20">
        <v>2000</v>
      </c>
    </row>
    <row r="911" spans="1:9" x14ac:dyDescent="0.3">
      <c r="C911" t="s">
        <v>236</v>
      </c>
      <c r="F911" s="20">
        <v>56</v>
      </c>
      <c r="G911" s="12">
        <v>2.8000000000000001E-2</v>
      </c>
      <c r="H911" s="20">
        <v>120</v>
      </c>
      <c r="I911" s="20">
        <v>2000</v>
      </c>
    </row>
    <row r="912" spans="1:9" x14ac:dyDescent="0.3">
      <c r="B912" t="s">
        <v>237</v>
      </c>
      <c r="F912" s="20">
        <v>56</v>
      </c>
      <c r="G912" s="12">
        <v>2.8000000000000001E-2</v>
      </c>
      <c r="H912" s="20">
        <v>120</v>
      </c>
      <c r="I912" s="20">
        <v>2000</v>
      </c>
    </row>
    <row r="913" spans="1:9" x14ac:dyDescent="0.3">
      <c r="A913" t="s">
        <v>427</v>
      </c>
      <c r="F913" s="20">
        <v>56</v>
      </c>
      <c r="G913" s="12">
        <v>2.8000000000000001E-2</v>
      </c>
      <c r="H913" s="20">
        <v>120</v>
      </c>
      <c r="I913" s="20">
        <v>2000</v>
      </c>
    </row>
    <row r="914" spans="1:9" x14ac:dyDescent="0.3">
      <c r="A914" t="s">
        <v>209</v>
      </c>
      <c r="B914" t="s">
        <v>24</v>
      </c>
      <c r="C914" t="s">
        <v>15</v>
      </c>
      <c r="D914" t="s">
        <v>10</v>
      </c>
      <c r="E914" t="s">
        <v>8</v>
      </c>
      <c r="F914" s="20">
        <v>57</v>
      </c>
      <c r="G914" s="12">
        <v>2.8500000000000001E-2</v>
      </c>
      <c r="H914" s="20">
        <v>480</v>
      </c>
      <c r="I914" s="20">
        <v>2000</v>
      </c>
    </row>
    <row r="915" spans="1:9" x14ac:dyDescent="0.3">
      <c r="D915" t="s">
        <v>269</v>
      </c>
      <c r="F915" s="20">
        <v>57</v>
      </c>
      <c r="G915" s="12">
        <v>2.8500000000000001E-2</v>
      </c>
      <c r="H915" s="20">
        <v>480</v>
      </c>
      <c r="I915" s="20">
        <v>2000</v>
      </c>
    </row>
    <row r="916" spans="1:9" x14ac:dyDescent="0.3">
      <c r="C916" t="s">
        <v>239</v>
      </c>
      <c r="F916" s="20">
        <v>57</v>
      </c>
      <c r="G916" s="12">
        <v>2.8500000000000001E-2</v>
      </c>
      <c r="H916" s="20">
        <v>480</v>
      </c>
      <c r="I916" s="20">
        <v>2000</v>
      </c>
    </row>
    <row r="917" spans="1:9" x14ac:dyDescent="0.3">
      <c r="B917" t="s">
        <v>234</v>
      </c>
      <c r="F917" s="20">
        <v>57</v>
      </c>
      <c r="G917" s="12">
        <v>2.8500000000000001E-2</v>
      </c>
      <c r="H917" s="20">
        <v>480</v>
      </c>
      <c r="I917" s="20">
        <v>2000</v>
      </c>
    </row>
    <row r="918" spans="1:9" x14ac:dyDescent="0.3">
      <c r="A918" t="s">
        <v>428</v>
      </c>
      <c r="F918" s="20">
        <v>57</v>
      </c>
      <c r="G918" s="12">
        <v>2.8500000000000001E-2</v>
      </c>
      <c r="H918" s="20">
        <v>480</v>
      </c>
      <c r="I918" s="20">
        <v>2000</v>
      </c>
    </row>
    <row r="919" spans="1:9" x14ac:dyDescent="0.3">
      <c r="A919" t="s">
        <v>210</v>
      </c>
      <c r="B919" t="s">
        <v>25</v>
      </c>
      <c r="C919" t="s">
        <v>16</v>
      </c>
      <c r="D919" t="s">
        <v>10</v>
      </c>
      <c r="E919" t="s">
        <v>8</v>
      </c>
      <c r="F919" s="20">
        <v>58</v>
      </c>
      <c r="G919" s="12">
        <v>2.9000000000000001E-2</v>
      </c>
      <c r="H919" s="20">
        <v>150</v>
      </c>
      <c r="I919" s="20">
        <v>2000</v>
      </c>
    </row>
    <row r="920" spans="1:9" x14ac:dyDescent="0.3">
      <c r="D920" t="s">
        <v>269</v>
      </c>
      <c r="F920" s="20">
        <v>58</v>
      </c>
      <c r="G920" s="12">
        <v>2.9000000000000001E-2</v>
      </c>
      <c r="H920" s="20">
        <v>150</v>
      </c>
      <c r="I920" s="20">
        <v>2000</v>
      </c>
    </row>
    <row r="921" spans="1:9" x14ac:dyDescent="0.3">
      <c r="C921" t="s">
        <v>241</v>
      </c>
      <c r="F921" s="20">
        <v>58</v>
      </c>
      <c r="G921" s="12">
        <v>2.9000000000000001E-2</v>
      </c>
      <c r="H921" s="20">
        <v>150</v>
      </c>
      <c r="I921" s="20">
        <v>2000</v>
      </c>
    </row>
    <row r="922" spans="1:9" x14ac:dyDescent="0.3">
      <c r="B922" t="s">
        <v>237</v>
      </c>
      <c r="F922" s="20">
        <v>58</v>
      </c>
      <c r="G922" s="12">
        <v>2.9000000000000001E-2</v>
      </c>
      <c r="H922" s="20">
        <v>150</v>
      </c>
      <c r="I922" s="20">
        <v>2000</v>
      </c>
    </row>
    <row r="923" spans="1:9" x14ac:dyDescent="0.3">
      <c r="A923" t="s">
        <v>429</v>
      </c>
      <c r="F923" s="20">
        <v>58</v>
      </c>
      <c r="G923" s="12">
        <v>2.9000000000000001E-2</v>
      </c>
      <c r="H923" s="20">
        <v>150</v>
      </c>
      <c r="I923" s="20">
        <v>2000</v>
      </c>
    </row>
    <row r="924" spans="1:9" x14ac:dyDescent="0.3">
      <c r="A924" t="s">
        <v>211</v>
      </c>
      <c r="B924" t="s">
        <v>24</v>
      </c>
      <c r="C924" t="s">
        <v>17</v>
      </c>
      <c r="D924" t="s">
        <v>10</v>
      </c>
      <c r="E924" t="s">
        <v>9</v>
      </c>
      <c r="F924" s="20">
        <v>59</v>
      </c>
      <c r="G924" s="12">
        <v>2.9499999999999998E-2</v>
      </c>
      <c r="H924" s="20">
        <v>720</v>
      </c>
      <c r="I924" s="20">
        <v>2000</v>
      </c>
    </row>
    <row r="925" spans="1:9" x14ac:dyDescent="0.3">
      <c r="D925" t="s">
        <v>269</v>
      </c>
      <c r="F925" s="20">
        <v>59</v>
      </c>
      <c r="G925" s="12">
        <v>2.9499999999999998E-2</v>
      </c>
      <c r="H925" s="20">
        <v>720</v>
      </c>
      <c r="I925" s="20">
        <v>2000</v>
      </c>
    </row>
    <row r="926" spans="1:9" x14ac:dyDescent="0.3">
      <c r="C926" t="s">
        <v>243</v>
      </c>
      <c r="F926" s="20">
        <v>59</v>
      </c>
      <c r="G926" s="12">
        <v>2.9499999999999998E-2</v>
      </c>
      <c r="H926" s="20">
        <v>720</v>
      </c>
      <c r="I926" s="20">
        <v>2000</v>
      </c>
    </row>
    <row r="927" spans="1:9" x14ac:dyDescent="0.3">
      <c r="B927" t="s">
        <v>234</v>
      </c>
      <c r="F927" s="20">
        <v>59</v>
      </c>
      <c r="G927" s="12">
        <v>2.9499999999999998E-2</v>
      </c>
      <c r="H927" s="20">
        <v>720</v>
      </c>
      <c r="I927" s="20">
        <v>2000</v>
      </c>
    </row>
    <row r="928" spans="1:9" x14ac:dyDescent="0.3">
      <c r="A928" t="s">
        <v>430</v>
      </c>
      <c r="F928" s="20">
        <v>59</v>
      </c>
      <c r="G928" s="12">
        <v>2.9499999999999998E-2</v>
      </c>
      <c r="H928" s="20">
        <v>720</v>
      </c>
      <c r="I928" s="20">
        <v>2000</v>
      </c>
    </row>
    <row r="929" spans="1:9" x14ac:dyDescent="0.3">
      <c r="A929" t="s">
        <v>212</v>
      </c>
      <c r="B929" t="s">
        <v>25</v>
      </c>
      <c r="C929" t="s">
        <v>20</v>
      </c>
      <c r="D929" t="s">
        <v>10</v>
      </c>
      <c r="E929" t="s">
        <v>9</v>
      </c>
      <c r="F929" s="20">
        <v>60</v>
      </c>
      <c r="G929" s="12">
        <v>0.03</v>
      </c>
      <c r="H929" s="20">
        <v>880</v>
      </c>
      <c r="I929" s="20">
        <v>2000</v>
      </c>
    </row>
    <row r="930" spans="1:9" x14ac:dyDescent="0.3">
      <c r="D930" t="s">
        <v>269</v>
      </c>
      <c r="F930" s="20">
        <v>60</v>
      </c>
      <c r="G930" s="12">
        <v>0.03</v>
      </c>
      <c r="H930" s="20">
        <v>880</v>
      </c>
      <c r="I930" s="20">
        <v>2000</v>
      </c>
    </row>
    <row r="931" spans="1:9" x14ac:dyDescent="0.3">
      <c r="C931" t="s">
        <v>245</v>
      </c>
      <c r="F931" s="20">
        <v>60</v>
      </c>
      <c r="G931" s="12">
        <v>0.03</v>
      </c>
      <c r="H931" s="20">
        <v>880</v>
      </c>
      <c r="I931" s="20">
        <v>2000</v>
      </c>
    </row>
    <row r="932" spans="1:9" x14ac:dyDescent="0.3">
      <c r="B932" t="s">
        <v>237</v>
      </c>
      <c r="F932" s="20">
        <v>60</v>
      </c>
      <c r="G932" s="12">
        <v>0.03</v>
      </c>
      <c r="H932" s="20">
        <v>880</v>
      </c>
      <c r="I932" s="20">
        <v>2000</v>
      </c>
    </row>
    <row r="933" spans="1:9" x14ac:dyDescent="0.3">
      <c r="A933" t="s">
        <v>431</v>
      </c>
      <c r="F933" s="20">
        <v>60</v>
      </c>
      <c r="G933" s="12">
        <v>0.03</v>
      </c>
      <c r="H933" s="20">
        <v>880</v>
      </c>
      <c r="I933" s="20">
        <v>2000</v>
      </c>
    </row>
    <row r="934" spans="1:9" x14ac:dyDescent="0.3">
      <c r="A934" t="s">
        <v>213</v>
      </c>
      <c r="B934" t="s">
        <v>24</v>
      </c>
      <c r="C934" t="s">
        <v>18</v>
      </c>
      <c r="D934" t="s">
        <v>10</v>
      </c>
      <c r="E934" t="s">
        <v>8</v>
      </c>
      <c r="F934" s="20">
        <v>61</v>
      </c>
      <c r="G934" s="12">
        <v>3.0499999999999999E-2</v>
      </c>
      <c r="H934" s="20">
        <v>105</v>
      </c>
      <c r="I934" s="20">
        <v>2000</v>
      </c>
    </row>
    <row r="935" spans="1:9" x14ac:dyDescent="0.3">
      <c r="D935" t="s">
        <v>269</v>
      </c>
      <c r="F935" s="20">
        <v>61</v>
      </c>
      <c r="G935" s="12">
        <v>3.0499999999999999E-2</v>
      </c>
      <c r="H935" s="20">
        <v>105</v>
      </c>
      <c r="I935" s="20">
        <v>2000</v>
      </c>
    </row>
    <row r="936" spans="1:9" x14ac:dyDescent="0.3">
      <c r="C936" t="s">
        <v>247</v>
      </c>
      <c r="F936" s="20">
        <v>61</v>
      </c>
      <c r="G936" s="12">
        <v>3.0499999999999999E-2</v>
      </c>
      <c r="H936" s="20">
        <v>105</v>
      </c>
      <c r="I936" s="20">
        <v>2000</v>
      </c>
    </row>
    <row r="937" spans="1:9" x14ac:dyDescent="0.3">
      <c r="B937" t="s">
        <v>234</v>
      </c>
      <c r="F937" s="20">
        <v>61</v>
      </c>
      <c r="G937" s="12">
        <v>3.0499999999999999E-2</v>
      </c>
      <c r="H937" s="20">
        <v>105</v>
      </c>
      <c r="I937" s="20">
        <v>2000</v>
      </c>
    </row>
    <row r="938" spans="1:9" x14ac:dyDescent="0.3">
      <c r="A938" t="s">
        <v>432</v>
      </c>
      <c r="F938" s="20">
        <v>61</v>
      </c>
      <c r="G938" s="12">
        <v>3.0499999999999999E-2</v>
      </c>
      <c r="H938" s="20">
        <v>105</v>
      </c>
      <c r="I938" s="20">
        <v>2000</v>
      </c>
    </row>
    <row r="939" spans="1:9" x14ac:dyDescent="0.3">
      <c r="A939" t="s">
        <v>214</v>
      </c>
      <c r="B939" t="s">
        <v>25</v>
      </c>
      <c r="C939" t="s">
        <v>19</v>
      </c>
      <c r="D939" t="s">
        <v>10</v>
      </c>
      <c r="E939" t="s">
        <v>7</v>
      </c>
      <c r="F939" s="20">
        <v>62</v>
      </c>
      <c r="G939" s="12">
        <v>3.1E-2</v>
      </c>
      <c r="H939" s="20">
        <v>550</v>
      </c>
      <c r="I939" s="20">
        <v>2000</v>
      </c>
    </row>
    <row r="940" spans="1:9" x14ac:dyDescent="0.3">
      <c r="D940" t="s">
        <v>269</v>
      </c>
      <c r="F940" s="20">
        <v>62</v>
      </c>
      <c r="G940" s="12">
        <v>3.1E-2</v>
      </c>
      <c r="H940" s="20">
        <v>550</v>
      </c>
      <c r="I940" s="20">
        <v>2000</v>
      </c>
    </row>
    <row r="941" spans="1:9" x14ac:dyDescent="0.3">
      <c r="C941" t="s">
        <v>249</v>
      </c>
      <c r="F941" s="20">
        <v>62</v>
      </c>
      <c r="G941" s="12">
        <v>3.1E-2</v>
      </c>
      <c r="H941" s="20">
        <v>550</v>
      </c>
      <c r="I941" s="20">
        <v>2000</v>
      </c>
    </row>
    <row r="942" spans="1:9" x14ac:dyDescent="0.3">
      <c r="B942" t="s">
        <v>237</v>
      </c>
      <c r="F942" s="20">
        <v>62</v>
      </c>
      <c r="G942" s="12">
        <v>3.1E-2</v>
      </c>
      <c r="H942" s="20">
        <v>550</v>
      </c>
      <c r="I942" s="20">
        <v>2000</v>
      </c>
    </row>
    <row r="943" spans="1:9" x14ac:dyDescent="0.3">
      <c r="A943" t="s">
        <v>433</v>
      </c>
      <c r="F943" s="20">
        <v>62</v>
      </c>
      <c r="G943" s="12">
        <v>3.1E-2</v>
      </c>
      <c r="H943" s="20">
        <v>550</v>
      </c>
      <c r="I943" s="20">
        <v>2000</v>
      </c>
    </row>
    <row r="944" spans="1:9" x14ac:dyDescent="0.3">
      <c r="A944" t="s">
        <v>215</v>
      </c>
      <c r="B944" t="s">
        <v>24</v>
      </c>
      <c r="C944" t="s">
        <v>21</v>
      </c>
      <c r="D944" t="s">
        <v>10</v>
      </c>
      <c r="E944" t="s">
        <v>8</v>
      </c>
      <c r="F944" s="20">
        <v>63</v>
      </c>
      <c r="G944" s="12">
        <v>3.15E-2</v>
      </c>
      <c r="H944" s="20">
        <v>145</v>
      </c>
      <c r="I944" s="20">
        <v>2000</v>
      </c>
    </row>
    <row r="945" spans="1:9" x14ac:dyDescent="0.3">
      <c r="D945" t="s">
        <v>269</v>
      </c>
      <c r="F945" s="20">
        <v>63</v>
      </c>
      <c r="G945" s="12">
        <v>3.15E-2</v>
      </c>
      <c r="H945" s="20">
        <v>145</v>
      </c>
      <c r="I945" s="20">
        <v>2000</v>
      </c>
    </row>
    <row r="946" spans="1:9" x14ac:dyDescent="0.3">
      <c r="C946" t="s">
        <v>251</v>
      </c>
      <c r="F946" s="20">
        <v>63</v>
      </c>
      <c r="G946" s="12">
        <v>3.15E-2</v>
      </c>
      <c r="H946" s="20">
        <v>145</v>
      </c>
      <c r="I946" s="20">
        <v>2000</v>
      </c>
    </row>
    <row r="947" spans="1:9" x14ac:dyDescent="0.3">
      <c r="B947" t="s">
        <v>234</v>
      </c>
      <c r="F947" s="20">
        <v>63</v>
      </c>
      <c r="G947" s="12">
        <v>3.15E-2</v>
      </c>
      <c r="H947" s="20">
        <v>145</v>
      </c>
      <c r="I947" s="20">
        <v>2000</v>
      </c>
    </row>
    <row r="948" spans="1:9" x14ac:dyDescent="0.3">
      <c r="A948" t="s">
        <v>434</v>
      </c>
      <c r="F948" s="20">
        <v>63</v>
      </c>
      <c r="G948" s="12">
        <v>3.15E-2</v>
      </c>
      <c r="H948" s="20">
        <v>145</v>
      </c>
      <c r="I948" s="20">
        <v>2000</v>
      </c>
    </row>
    <row r="949" spans="1:9" x14ac:dyDescent="0.3">
      <c r="A949" t="s">
        <v>216</v>
      </c>
      <c r="B949" t="s">
        <v>25</v>
      </c>
      <c r="C949" t="s">
        <v>13</v>
      </c>
      <c r="D949" t="s">
        <v>10</v>
      </c>
      <c r="E949" t="s">
        <v>7</v>
      </c>
      <c r="F949" s="20">
        <v>64</v>
      </c>
      <c r="G949" s="12">
        <v>3.2000000000000001E-2</v>
      </c>
      <c r="H949" s="20">
        <v>680</v>
      </c>
      <c r="I949" s="20">
        <v>2000</v>
      </c>
    </row>
    <row r="950" spans="1:9" x14ac:dyDescent="0.3">
      <c r="D950" t="s">
        <v>269</v>
      </c>
      <c r="F950" s="20">
        <v>64</v>
      </c>
      <c r="G950" s="12">
        <v>3.2000000000000001E-2</v>
      </c>
      <c r="H950" s="20">
        <v>680</v>
      </c>
      <c r="I950" s="20">
        <v>2000</v>
      </c>
    </row>
    <row r="951" spans="1:9" x14ac:dyDescent="0.3">
      <c r="C951" t="s">
        <v>233</v>
      </c>
      <c r="F951" s="20">
        <v>64</v>
      </c>
      <c r="G951" s="12">
        <v>3.2000000000000001E-2</v>
      </c>
      <c r="H951" s="20">
        <v>680</v>
      </c>
      <c r="I951" s="20">
        <v>2000</v>
      </c>
    </row>
    <row r="952" spans="1:9" x14ac:dyDescent="0.3">
      <c r="B952" t="s">
        <v>237</v>
      </c>
      <c r="F952" s="20">
        <v>64</v>
      </c>
      <c r="G952" s="12">
        <v>3.2000000000000001E-2</v>
      </c>
      <c r="H952" s="20">
        <v>680</v>
      </c>
      <c r="I952" s="20">
        <v>2000</v>
      </c>
    </row>
    <row r="953" spans="1:9" x14ac:dyDescent="0.3">
      <c r="A953" t="s">
        <v>435</v>
      </c>
      <c r="F953" s="20">
        <v>64</v>
      </c>
      <c r="G953" s="12">
        <v>3.2000000000000001E-2</v>
      </c>
      <c r="H953" s="20">
        <v>680</v>
      </c>
      <c r="I953" s="20">
        <v>2000</v>
      </c>
    </row>
    <row r="954" spans="1:9" x14ac:dyDescent="0.3">
      <c r="A954" t="s">
        <v>217</v>
      </c>
      <c r="B954" t="s">
        <v>24</v>
      </c>
      <c r="C954" t="s">
        <v>14</v>
      </c>
      <c r="D954" t="s">
        <v>10</v>
      </c>
      <c r="E954" t="s">
        <v>8</v>
      </c>
      <c r="F954" s="20">
        <v>65</v>
      </c>
      <c r="G954" s="12">
        <v>3.2500000000000001E-2</v>
      </c>
      <c r="H954" s="20">
        <v>250</v>
      </c>
      <c r="I954" s="20">
        <v>2000</v>
      </c>
    </row>
    <row r="955" spans="1:9" x14ac:dyDescent="0.3">
      <c r="D955" t="s">
        <v>269</v>
      </c>
      <c r="F955" s="20">
        <v>65</v>
      </c>
      <c r="G955" s="12">
        <v>3.2500000000000001E-2</v>
      </c>
      <c r="H955" s="20">
        <v>250</v>
      </c>
      <c r="I955" s="20">
        <v>2000</v>
      </c>
    </row>
    <row r="956" spans="1:9" x14ac:dyDescent="0.3">
      <c r="C956" t="s">
        <v>236</v>
      </c>
      <c r="F956" s="20">
        <v>65</v>
      </c>
      <c r="G956" s="12">
        <v>3.2500000000000001E-2</v>
      </c>
      <c r="H956" s="20">
        <v>250</v>
      </c>
      <c r="I956" s="20">
        <v>2000</v>
      </c>
    </row>
    <row r="957" spans="1:9" x14ac:dyDescent="0.3">
      <c r="B957" t="s">
        <v>234</v>
      </c>
      <c r="F957" s="20">
        <v>65</v>
      </c>
      <c r="G957" s="12">
        <v>3.2500000000000001E-2</v>
      </c>
      <c r="H957" s="20">
        <v>250</v>
      </c>
      <c r="I957" s="20">
        <v>2000</v>
      </c>
    </row>
    <row r="958" spans="1:9" x14ac:dyDescent="0.3">
      <c r="A958" t="s">
        <v>436</v>
      </c>
      <c r="F958" s="20">
        <v>65</v>
      </c>
      <c r="G958" s="12">
        <v>3.2500000000000001E-2</v>
      </c>
      <c r="H958" s="20">
        <v>250</v>
      </c>
      <c r="I958" s="20">
        <v>2000</v>
      </c>
    </row>
    <row r="959" spans="1:9" x14ac:dyDescent="0.3">
      <c r="A959" t="s">
        <v>218</v>
      </c>
      <c r="B959" t="s">
        <v>25</v>
      </c>
      <c r="C959" t="s">
        <v>15</v>
      </c>
      <c r="D959" t="s">
        <v>10</v>
      </c>
      <c r="E959" t="s">
        <v>9</v>
      </c>
      <c r="F959" s="20">
        <v>66</v>
      </c>
      <c r="G959" s="12">
        <v>3.3000000000000002E-2</v>
      </c>
      <c r="H959" s="20">
        <v>890</v>
      </c>
      <c r="I959" s="20">
        <v>2000</v>
      </c>
    </row>
    <row r="960" spans="1:9" x14ac:dyDescent="0.3">
      <c r="D960" t="s">
        <v>269</v>
      </c>
      <c r="F960" s="20">
        <v>66</v>
      </c>
      <c r="G960" s="12">
        <v>3.3000000000000002E-2</v>
      </c>
      <c r="H960" s="20">
        <v>890</v>
      </c>
      <c r="I960" s="20">
        <v>2000</v>
      </c>
    </row>
    <row r="961" spans="1:9" x14ac:dyDescent="0.3">
      <c r="C961" t="s">
        <v>239</v>
      </c>
      <c r="F961" s="20">
        <v>66</v>
      </c>
      <c r="G961" s="12">
        <v>3.3000000000000002E-2</v>
      </c>
      <c r="H961" s="20">
        <v>890</v>
      </c>
      <c r="I961" s="20">
        <v>2000</v>
      </c>
    </row>
    <row r="962" spans="1:9" x14ac:dyDescent="0.3">
      <c r="B962" t="s">
        <v>237</v>
      </c>
      <c r="F962" s="20">
        <v>66</v>
      </c>
      <c r="G962" s="12">
        <v>3.3000000000000002E-2</v>
      </c>
      <c r="H962" s="20">
        <v>890</v>
      </c>
      <c r="I962" s="20">
        <v>2000</v>
      </c>
    </row>
    <row r="963" spans="1:9" x14ac:dyDescent="0.3">
      <c r="A963" t="s">
        <v>437</v>
      </c>
      <c r="F963" s="20">
        <v>66</v>
      </c>
      <c r="G963" s="12">
        <v>3.3000000000000002E-2</v>
      </c>
      <c r="H963" s="20">
        <v>890</v>
      </c>
      <c r="I963" s="20">
        <v>2000</v>
      </c>
    </row>
    <row r="964" spans="1:9" x14ac:dyDescent="0.3">
      <c r="A964" t="s">
        <v>219</v>
      </c>
      <c r="B964" t="s">
        <v>24</v>
      </c>
      <c r="C964" t="s">
        <v>16</v>
      </c>
      <c r="D964" t="s">
        <v>10</v>
      </c>
      <c r="E964" t="s">
        <v>8</v>
      </c>
      <c r="F964" s="20">
        <v>67</v>
      </c>
      <c r="G964" s="12">
        <v>3.3500000000000002E-2</v>
      </c>
      <c r="H964" s="20">
        <v>340</v>
      </c>
      <c r="I964" s="20">
        <v>2000</v>
      </c>
    </row>
    <row r="965" spans="1:9" x14ac:dyDescent="0.3">
      <c r="D965" t="s">
        <v>269</v>
      </c>
      <c r="F965" s="20">
        <v>67</v>
      </c>
      <c r="G965" s="12">
        <v>3.3500000000000002E-2</v>
      </c>
      <c r="H965" s="20">
        <v>340</v>
      </c>
      <c r="I965" s="20">
        <v>2000</v>
      </c>
    </row>
    <row r="966" spans="1:9" x14ac:dyDescent="0.3">
      <c r="C966" t="s">
        <v>241</v>
      </c>
      <c r="F966" s="20">
        <v>67</v>
      </c>
      <c r="G966" s="12">
        <v>3.3500000000000002E-2</v>
      </c>
      <c r="H966" s="20">
        <v>340</v>
      </c>
      <c r="I966" s="20">
        <v>2000</v>
      </c>
    </row>
    <row r="967" spans="1:9" x14ac:dyDescent="0.3">
      <c r="B967" t="s">
        <v>234</v>
      </c>
      <c r="F967" s="20">
        <v>67</v>
      </c>
      <c r="G967" s="12">
        <v>3.3500000000000002E-2</v>
      </c>
      <c r="H967" s="20">
        <v>340</v>
      </c>
      <c r="I967" s="20">
        <v>2000</v>
      </c>
    </row>
    <row r="968" spans="1:9" x14ac:dyDescent="0.3">
      <c r="A968" t="s">
        <v>438</v>
      </c>
      <c r="F968" s="20">
        <v>67</v>
      </c>
      <c r="G968" s="12">
        <v>3.3500000000000002E-2</v>
      </c>
      <c r="H968" s="20">
        <v>340</v>
      </c>
      <c r="I968" s="20">
        <v>2000</v>
      </c>
    </row>
    <row r="969" spans="1:9" x14ac:dyDescent="0.3">
      <c r="A969" t="s">
        <v>220</v>
      </c>
      <c r="B969" t="s">
        <v>25</v>
      </c>
      <c r="C969" t="s">
        <v>17</v>
      </c>
      <c r="D969" t="s">
        <v>10</v>
      </c>
      <c r="E969" t="s">
        <v>8</v>
      </c>
      <c r="F969" s="20">
        <v>68</v>
      </c>
      <c r="G969" s="12">
        <v>3.4000000000000002E-2</v>
      </c>
      <c r="H969" s="20">
        <v>275</v>
      </c>
      <c r="I969" s="20">
        <v>2000</v>
      </c>
    </row>
    <row r="970" spans="1:9" x14ac:dyDescent="0.3">
      <c r="D970" t="s">
        <v>269</v>
      </c>
      <c r="F970" s="20">
        <v>68</v>
      </c>
      <c r="G970" s="12">
        <v>3.4000000000000002E-2</v>
      </c>
      <c r="H970" s="20">
        <v>275</v>
      </c>
      <c r="I970" s="20">
        <v>2000</v>
      </c>
    </row>
    <row r="971" spans="1:9" x14ac:dyDescent="0.3">
      <c r="C971" t="s">
        <v>243</v>
      </c>
      <c r="F971" s="20">
        <v>68</v>
      </c>
      <c r="G971" s="12">
        <v>3.4000000000000002E-2</v>
      </c>
      <c r="H971" s="20">
        <v>275</v>
      </c>
      <c r="I971" s="20">
        <v>2000</v>
      </c>
    </row>
    <row r="972" spans="1:9" x14ac:dyDescent="0.3">
      <c r="B972" t="s">
        <v>237</v>
      </c>
      <c r="F972" s="20">
        <v>68</v>
      </c>
      <c r="G972" s="12">
        <v>3.4000000000000002E-2</v>
      </c>
      <c r="H972" s="20">
        <v>275</v>
      </c>
      <c r="I972" s="20">
        <v>2000</v>
      </c>
    </row>
    <row r="973" spans="1:9" x14ac:dyDescent="0.3">
      <c r="A973" t="s">
        <v>439</v>
      </c>
      <c r="F973" s="20">
        <v>68</v>
      </c>
      <c r="G973" s="12">
        <v>3.4000000000000002E-2</v>
      </c>
      <c r="H973" s="20">
        <v>275</v>
      </c>
      <c r="I973" s="20">
        <v>2000</v>
      </c>
    </row>
    <row r="974" spans="1:9" x14ac:dyDescent="0.3">
      <c r="A974" t="s">
        <v>221</v>
      </c>
      <c r="B974" t="s">
        <v>24</v>
      </c>
      <c r="C974" t="s">
        <v>20</v>
      </c>
      <c r="D974" t="s">
        <v>10</v>
      </c>
      <c r="E974" t="s">
        <v>7</v>
      </c>
      <c r="F974" s="20">
        <v>69</v>
      </c>
      <c r="G974" s="12">
        <v>3.4500000000000003E-2</v>
      </c>
      <c r="H974" s="20">
        <v>600</v>
      </c>
      <c r="I974" s="20">
        <v>2000</v>
      </c>
    </row>
    <row r="975" spans="1:9" x14ac:dyDescent="0.3">
      <c r="D975" t="s">
        <v>269</v>
      </c>
      <c r="F975" s="20">
        <v>69</v>
      </c>
      <c r="G975" s="12">
        <v>3.4500000000000003E-2</v>
      </c>
      <c r="H975" s="20">
        <v>600</v>
      </c>
      <c r="I975" s="20">
        <v>2000</v>
      </c>
    </row>
    <row r="976" spans="1:9" x14ac:dyDescent="0.3">
      <c r="C976" t="s">
        <v>245</v>
      </c>
      <c r="F976" s="20">
        <v>69</v>
      </c>
      <c r="G976" s="12">
        <v>3.4500000000000003E-2</v>
      </c>
      <c r="H976" s="20">
        <v>600</v>
      </c>
      <c r="I976" s="20">
        <v>2000</v>
      </c>
    </row>
    <row r="977" spans="1:9" x14ac:dyDescent="0.3">
      <c r="B977" t="s">
        <v>234</v>
      </c>
      <c r="F977" s="20">
        <v>69</v>
      </c>
      <c r="G977" s="12">
        <v>3.4500000000000003E-2</v>
      </c>
      <c r="H977" s="20">
        <v>600</v>
      </c>
      <c r="I977" s="20">
        <v>2000</v>
      </c>
    </row>
    <row r="978" spans="1:9" x14ac:dyDescent="0.3">
      <c r="A978" t="s">
        <v>440</v>
      </c>
      <c r="F978" s="20">
        <v>69</v>
      </c>
      <c r="G978" s="12">
        <v>3.4500000000000003E-2</v>
      </c>
      <c r="H978" s="20">
        <v>600</v>
      </c>
      <c r="I978" s="20">
        <v>2000</v>
      </c>
    </row>
    <row r="979" spans="1:9" x14ac:dyDescent="0.3">
      <c r="A979" t="s">
        <v>222</v>
      </c>
      <c r="B979" t="s">
        <v>25</v>
      </c>
      <c r="C979" t="s">
        <v>18</v>
      </c>
      <c r="D979" t="s">
        <v>6</v>
      </c>
      <c r="E979" t="s">
        <v>8</v>
      </c>
      <c r="F979" s="20">
        <v>47</v>
      </c>
      <c r="G979" s="12">
        <v>2.35E-2</v>
      </c>
      <c r="H979" s="20">
        <v>115</v>
      </c>
      <c r="I979" s="20">
        <v>2000</v>
      </c>
    </row>
    <row r="980" spans="1:9" x14ac:dyDescent="0.3">
      <c r="D980" t="s">
        <v>232</v>
      </c>
      <c r="F980" s="20">
        <v>47</v>
      </c>
      <c r="G980" s="12">
        <v>2.35E-2</v>
      </c>
      <c r="H980" s="20">
        <v>115</v>
      </c>
      <c r="I980" s="20">
        <v>2000</v>
      </c>
    </row>
    <row r="981" spans="1:9" x14ac:dyDescent="0.3">
      <c r="C981" t="s">
        <v>247</v>
      </c>
      <c r="F981" s="20">
        <v>47</v>
      </c>
      <c r="G981" s="12">
        <v>2.35E-2</v>
      </c>
      <c r="H981" s="20">
        <v>115</v>
      </c>
      <c r="I981" s="20">
        <v>2000</v>
      </c>
    </row>
    <row r="982" spans="1:9" x14ac:dyDescent="0.3">
      <c r="B982" t="s">
        <v>237</v>
      </c>
      <c r="F982" s="20">
        <v>47</v>
      </c>
      <c r="G982" s="12">
        <v>2.35E-2</v>
      </c>
      <c r="H982" s="20">
        <v>115</v>
      </c>
      <c r="I982" s="20">
        <v>2000</v>
      </c>
    </row>
    <row r="983" spans="1:9" x14ac:dyDescent="0.3">
      <c r="A983" t="s">
        <v>441</v>
      </c>
      <c r="F983" s="20">
        <v>47</v>
      </c>
      <c r="G983" s="12">
        <v>2.35E-2</v>
      </c>
      <c r="H983" s="20">
        <v>115</v>
      </c>
      <c r="I983" s="20">
        <v>2000</v>
      </c>
    </row>
    <row r="984" spans="1:9" x14ac:dyDescent="0.3">
      <c r="A984" t="s">
        <v>223</v>
      </c>
      <c r="B984" t="s">
        <v>24</v>
      </c>
      <c r="C984" t="s">
        <v>19</v>
      </c>
      <c r="D984" t="s">
        <v>6</v>
      </c>
      <c r="E984" t="s">
        <v>9</v>
      </c>
      <c r="F984" s="20">
        <v>48</v>
      </c>
      <c r="G984" s="12">
        <v>2.4E-2</v>
      </c>
      <c r="H984" s="20">
        <v>920</v>
      </c>
      <c r="I984" s="20">
        <v>2000</v>
      </c>
    </row>
    <row r="985" spans="1:9" x14ac:dyDescent="0.3">
      <c r="D985" t="s">
        <v>232</v>
      </c>
      <c r="F985" s="20">
        <v>48</v>
      </c>
      <c r="G985" s="12">
        <v>2.4E-2</v>
      </c>
      <c r="H985" s="20">
        <v>920</v>
      </c>
      <c r="I985" s="20">
        <v>2000</v>
      </c>
    </row>
    <row r="986" spans="1:9" x14ac:dyDescent="0.3">
      <c r="C986" t="s">
        <v>249</v>
      </c>
      <c r="F986" s="20">
        <v>48</v>
      </c>
      <c r="G986" s="12">
        <v>2.4E-2</v>
      </c>
      <c r="H986" s="20">
        <v>920</v>
      </c>
      <c r="I986" s="20">
        <v>2000</v>
      </c>
    </row>
    <row r="987" spans="1:9" x14ac:dyDescent="0.3">
      <c r="B987" t="s">
        <v>234</v>
      </c>
      <c r="F987" s="20">
        <v>48</v>
      </c>
      <c r="G987" s="12">
        <v>2.4E-2</v>
      </c>
      <c r="H987" s="20">
        <v>920</v>
      </c>
      <c r="I987" s="20">
        <v>2000</v>
      </c>
    </row>
    <row r="988" spans="1:9" x14ac:dyDescent="0.3">
      <c r="A988" t="s">
        <v>442</v>
      </c>
      <c r="F988" s="20">
        <v>48</v>
      </c>
      <c r="G988" s="12">
        <v>2.4E-2</v>
      </c>
      <c r="H988" s="20">
        <v>920</v>
      </c>
      <c r="I988" s="20">
        <v>2000</v>
      </c>
    </row>
    <row r="989" spans="1:9" x14ac:dyDescent="0.3">
      <c r="A989" t="s">
        <v>224</v>
      </c>
      <c r="B989" t="s">
        <v>25</v>
      </c>
      <c r="C989" t="s">
        <v>21</v>
      </c>
      <c r="D989" t="s">
        <v>6</v>
      </c>
      <c r="E989" t="s">
        <v>8</v>
      </c>
      <c r="F989" s="20">
        <v>49</v>
      </c>
      <c r="G989" s="12">
        <v>2.4500000000000001E-2</v>
      </c>
      <c r="H989" s="20">
        <v>190</v>
      </c>
      <c r="I989" s="20">
        <v>2000</v>
      </c>
    </row>
    <row r="990" spans="1:9" x14ac:dyDescent="0.3">
      <c r="D990" t="s">
        <v>232</v>
      </c>
      <c r="F990" s="20">
        <v>49</v>
      </c>
      <c r="G990" s="12">
        <v>2.4500000000000001E-2</v>
      </c>
      <c r="H990" s="20">
        <v>190</v>
      </c>
      <c r="I990" s="20">
        <v>2000</v>
      </c>
    </row>
    <row r="991" spans="1:9" x14ac:dyDescent="0.3">
      <c r="C991" t="s">
        <v>251</v>
      </c>
      <c r="F991" s="20">
        <v>49</v>
      </c>
      <c r="G991" s="12">
        <v>2.4500000000000001E-2</v>
      </c>
      <c r="H991" s="20">
        <v>190</v>
      </c>
      <c r="I991" s="20">
        <v>2000</v>
      </c>
    </row>
    <row r="992" spans="1:9" x14ac:dyDescent="0.3">
      <c r="B992" t="s">
        <v>237</v>
      </c>
      <c r="F992" s="20">
        <v>49</v>
      </c>
      <c r="G992" s="12">
        <v>2.4500000000000001E-2</v>
      </c>
      <c r="H992" s="20">
        <v>190</v>
      </c>
      <c r="I992" s="20">
        <v>2000</v>
      </c>
    </row>
    <row r="993" spans="1:9" x14ac:dyDescent="0.3">
      <c r="A993" t="s">
        <v>443</v>
      </c>
      <c r="F993" s="20">
        <v>49</v>
      </c>
      <c r="G993" s="12">
        <v>2.4500000000000001E-2</v>
      </c>
      <c r="H993" s="20">
        <v>190</v>
      </c>
      <c r="I993" s="20">
        <v>2000</v>
      </c>
    </row>
    <row r="994" spans="1:9" x14ac:dyDescent="0.3">
      <c r="A994" t="s">
        <v>225</v>
      </c>
      <c r="B994" t="s">
        <v>24</v>
      </c>
      <c r="C994" t="s">
        <v>13</v>
      </c>
      <c r="D994" t="s">
        <v>10</v>
      </c>
      <c r="E994" t="s">
        <v>8</v>
      </c>
      <c r="F994" s="20">
        <v>50</v>
      </c>
      <c r="G994" s="12">
        <v>2.5000000000000001E-2</v>
      </c>
      <c r="H994" s="20">
        <v>290</v>
      </c>
      <c r="I994" s="20">
        <v>2000</v>
      </c>
    </row>
    <row r="995" spans="1:9" x14ac:dyDescent="0.3">
      <c r="D995" t="s">
        <v>269</v>
      </c>
      <c r="F995" s="20">
        <v>50</v>
      </c>
      <c r="G995" s="12">
        <v>2.5000000000000001E-2</v>
      </c>
      <c r="H995" s="20">
        <v>290</v>
      </c>
      <c r="I995" s="20">
        <v>2000</v>
      </c>
    </row>
    <row r="996" spans="1:9" x14ac:dyDescent="0.3">
      <c r="C996" t="s">
        <v>233</v>
      </c>
      <c r="F996" s="20">
        <v>50</v>
      </c>
      <c r="G996" s="12">
        <v>2.5000000000000001E-2</v>
      </c>
      <c r="H996" s="20">
        <v>290</v>
      </c>
      <c r="I996" s="20">
        <v>2000</v>
      </c>
    </row>
    <row r="997" spans="1:9" x14ac:dyDescent="0.3">
      <c r="B997" t="s">
        <v>234</v>
      </c>
      <c r="F997" s="20">
        <v>50</v>
      </c>
      <c r="G997" s="12">
        <v>2.5000000000000001E-2</v>
      </c>
      <c r="H997" s="20">
        <v>290</v>
      </c>
      <c r="I997" s="20">
        <v>2000</v>
      </c>
    </row>
    <row r="998" spans="1:9" x14ac:dyDescent="0.3">
      <c r="A998" t="s">
        <v>444</v>
      </c>
      <c r="F998" s="20">
        <v>50</v>
      </c>
      <c r="G998" s="12">
        <v>2.5000000000000001E-2</v>
      </c>
      <c r="H998" s="20">
        <v>290</v>
      </c>
      <c r="I998" s="20">
        <v>2000</v>
      </c>
    </row>
    <row r="999" spans="1:9" x14ac:dyDescent="0.3">
      <c r="A999" t="s">
        <v>226</v>
      </c>
      <c r="B999" t="s">
        <v>25</v>
      </c>
      <c r="C999" t="s">
        <v>14</v>
      </c>
      <c r="D999" t="s">
        <v>6</v>
      </c>
      <c r="E999" t="s">
        <v>7</v>
      </c>
      <c r="F999" s="20">
        <v>41</v>
      </c>
      <c r="G999" s="12">
        <v>2.0500000000000001E-2</v>
      </c>
      <c r="H999" s="20">
        <v>610</v>
      </c>
      <c r="I999" s="20">
        <v>2000</v>
      </c>
    </row>
    <row r="1000" spans="1:9" x14ac:dyDescent="0.3">
      <c r="D1000" t="s">
        <v>232</v>
      </c>
      <c r="F1000" s="20">
        <v>41</v>
      </c>
      <c r="G1000" s="12">
        <v>2.0500000000000001E-2</v>
      </c>
      <c r="H1000" s="20">
        <v>610</v>
      </c>
      <c r="I1000" s="20">
        <v>2000</v>
      </c>
    </row>
    <row r="1001" spans="1:9" x14ac:dyDescent="0.3">
      <c r="C1001" t="s">
        <v>236</v>
      </c>
      <c r="F1001" s="20">
        <v>41</v>
      </c>
      <c r="G1001" s="12">
        <v>2.0500000000000001E-2</v>
      </c>
      <c r="H1001" s="20">
        <v>610</v>
      </c>
      <c r="I1001" s="20">
        <v>2000</v>
      </c>
    </row>
    <row r="1002" spans="1:9" x14ac:dyDescent="0.3">
      <c r="B1002" t="s">
        <v>237</v>
      </c>
      <c r="F1002" s="20">
        <v>41</v>
      </c>
      <c r="G1002" s="12">
        <v>2.0500000000000001E-2</v>
      </c>
      <c r="H1002" s="20">
        <v>610</v>
      </c>
      <c r="I1002" s="20">
        <v>2000</v>
      </c>
    </row>
    <row r="1003" spans="1:9" x14ac:dyDescent="0.3">
      <c r="A1003" t="s">
        <v>445</v>
      </c>
      <c r="F1003" s="20">
        <v>41</v>
      </c>
      <c r="G1003" s="12">
        <v>2.0500000000000001E-2</v>
      </c>
      <c r="H1003" s="20">
        <v>610</v>
      </c>
      <c r="I1003" s="20">
        <v>2000</v>
      </c>
    </row>
    <row r="1004" spans="1:9" x14ac:dyDescent="0.3">
      <c r="A1004" t="s">
        <v>227</v>
      </c>
      <c r="F1004" s="20">
        <v>11660</v>
      </c>
      <c r="G1004" s="12">
        <v>2.9150000000000006E-2</v>
      </c>
      <c r="H1004" s="20">
        <v>82725</v>
      </c>
      <c r="I1004" s="20">
        <v>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3DF0-4C66-4FB4-90F0-0FD50EBBD1BA}">
  <dimension ref="A1:Q203"/>
  <sheetViews>
    <sheetView tabSelected="1" zoomScale="50" zoomScaleNormal="50" workbookViewId="0">
      <selection activeCell="L29" sqref="L29"/>
    </sheetView>
  </sheetViews>
  <sheetFormatPr defaultRowHeight="14.4" x14ac:dyDescent="0.3"/>
  <cols>
    <col min="1" max="1" width="31.21875" customWidth="1"/>
    <col min="2" max="2" width="32.5546875" customWidth="1"/>
    <col min="3" max="3" width="26.88671875" customWidth="1"/>
    <col min="4" max="4" width="16.6640625" customWidth="1"/>
    <col min="5" max="5" width="19.77734375" customWidth="1"/>
    <col min="6" max="6" width="29.33203125" style="4" customWidth="1"/>
    <col min="7" max="7" width="24.44140625" customWidth="1"/>
    <col min="8" max="8" width="24.88671875" customWidth="1"/>
    <col min="9" max="9" width="23.5546875" customWidth="1"/>
    <col min="11" max="11" width="27.109375" customWidth="1"/>
    <col min="12" max="12" width="23.6640625" customWidth="1"/>
    <col min="13" max="13" width="19.88671875" customWidth="1"/>
    <col min="14" max="14" width="23.6640625" customWidth="1"/>
    <col min="15" max="15" width="22.5546875" customWidth="1"/>
    <col min="16" max="16" width="24.77734375" customWidth="1"/>
    <col min="17" max="17" width="33.5546875" customWidth="1"/>
  </cols>
  <sheetData>
    <row r="1" spans="1:17" x14ac:dyDescent="0.3">
      <c r="E1" s="13" t="s">
        <v>12</v>
      </c>
      <c r="F1" s="13"/>
    </row>
    <row r="2" spans="1:17" x14ac:dyDescent="0.3">
      <c r="E2" s="13"/>
      <c r="F2" s="13"/>
    </row>
    <row r="3" spans="1:17" x14ac:dyDescent="0.3">
      <c r="A3" s="1" t="s">
        <v>26</v>
      </c>
      <c r="B3" s="2" t="s">
        <v>0</v>
      </c>
      <c r="C3" s="2" t="s">
        <v>22</v>
      </c>
      <c r="D3" s="2" t="s">
        <v>1</v>
      </c>
      <c r="E3" s="2" t="s">
        <v>2</v>
      </c>
      <c r="F3" s="3" t="s">
        <v>3</v>
      </c>
      <c r="G3" s="2" t="s">
        <v>4</v>
      </c>
      <c r="H3" s="2" t="s">
        <v>5</v>
      </c>
      <c r="I3" s="1" t="s">
        <v>23</v>
      </c>
      <c r="K3" s="5" t="s">
        <v>26</v>
      </c>
      <c r="L3" s="5" t="s">
        <v>0</v>
      </c>
      <c r="M3" s="6" t="s">
        <v>22</v>
      </c>
      <c r="N3" s="6" t="s">
        <v>2</v>
      </c>
      <c r="O3" s="7" t="s">
        <v>3</v>
      </c>
      <c r="P3" s="6" t="s">
        <v>4</v>
      </c>
      <c r="Q3" s="6" t="s">
        <v>5</v>
      </c>
    </row>
    <row r="4" spans="1:17" x14ac:dyDescent="0.3">
      <c r="A4" s="1" t="s">
        <v>27</v>
      </c>
      <c r="B4" s="2">
        <v>200</v>
      </c>
      <c r="C4" s="1" t="s">
        <v>13</v>
      </c>
      <c r="D4" s="2">
        <v>2000</v>
      </c>
      <c r="E4" s="2">
        <v>500</v>
      </c>
      <c r="F4" s="3">
        <f>Table1[[#This Row],[Defective Units]]/Table1[[#This Row],[Total Unit]]</f>
        <v>0.1</v>
      </c>
      <c r="G4" s="2" t="str">
        <f>_xlfn.SWITCH(TRUE(),ROUND(Table1[[#This Row],[Defect Rate]],2)&gt;=4%,"High Risk",ROUND(Table1[[#This Row],[Defect Rate]],2)&gt;=3%,"Medium Risk","Low Risk")</f>
        <v>High Risk</v>
      </c>
      <c r="H4" s="2" t="str">
        <f>_xlfn.SWITCH(TRUE(),Table1[[#This Row],[Shipping Cost ($)]]&gt;=700,"Expensive",Table1[[#This Row],[Shipping Cost ($)]]&gt;=500,"Economical","Low Cost")</f>
        <v>Economical</v>
      </c>
      <c r="I4" s="1" t="s">
        <v>24</v>
      </c>
      <c r="K4" s="8" t="s">
        <v>37</v>
      </c>
      <c r="L4" s="9">
        <f>INDEX(Table1[[#All],[Defective Units]],MATCH(K4,Table1[[#All],[Production Line Id]],0))</f>
        <v>35</v>
      </c>
      <c r="M4" s="9" t="str">
        <f>INDEX(Table1[[#All],[Defect Type]],MATCH(K4,Table1[[#All],[Production Line Id]],0))</f>
        <v>Stain</v>
      </c>
      <c r="N4" s="9">
        <f>INDEX(Table1[[#All],[Shipping Cost ($)]],MATCH(K4,Table1[[#All],[Production Line Id]],0))</f>
        <v>330</v>
      </c>
      <c r="O4" s="10">
        <f>INDEX(Table1[[#All],[Defect Rate]],MATCH(K4,Table1[[#All],[Production Line Id]],0))</f>
        <v>1.7500000000000002E-2</v>
      </c>
      <c r="P4" s="9" t="str">
        <f>INDEX(Table1[[#All],[Defect Rate Status]],MATCH(K4,Table1[[#All],[Production Line Id]],0))</f>
        <v>Low Risk</v>
      </c>
      <c r="Q4" s="9" t="str">
        <f>INDEX(Table1[[#All],[Shipping Cost ($)Status]],MATCH(K4,Table1[[#All],[Production Line Id]],0))</f>
        <v>Low Cost</v>
      </c>
    </row>
    <row r="5" spans="1:17" x14ac:dyDescent="0.3">
      <c r="A5" s="1" t="s">
        <v>28</v>
      </c>
      <c r="B5" s="2">
        <v>26</v>
      </c>
      <c r="C5" s="1" t="s">
        <v>14</v>
      </c>
      <c r="D5" s="2">
        <v>2000</v>
      </c>
      <c r="E5" s="2">
        <v>320</v>
      </c>
      <c r="F5" s="3">
        <f>Table1[[#This Row],[Defective Units]]/Table1[[#This Row],[Total Unit]]</f>
        <v>1.2999999999999999E-2</v>
      </c>
      <c r="G5" s="2" t="str">
        <f>_xlfn.SWITCH(TRUE(),ROUND(Table1[[#This Row],[Defect Rate]],2)&gt;=4%,"High Risk",ROUND(Table1[[#This Row],[Defect Rate]],2)&gt;=3%,"Medium Risk","Low Risk")</f>
        <v>Low Risk</v>
      </c>
      <c r="H5" s="2" t="str">
        <f>_xlfn.SWITCH(TRUE(),Table1[[#This Row],[Shipping Cost ($)]]&gt;=700,"Expensive",Table1[[#This Row],[Shipping Cost ($)]]&gt;=500,"Economical","Low Cost")</f>
        <v>Low Cost</v>
      </c>
      <c r="I5" s="1" t="s">
        <v>25</v>
      </c>
    </row>
    <row r="6" spans="1:17" x14ac:dyDescent="0.3">
      <c r="A6" s="1" t="s">
        <v>29</v>
      </c>
      <c r="B6" s="2">
        <v>27</v>
      </c>
      <c r="C6" s="1" t="s">
        <v>15</v>
      </c>
      <c r="D6" s="2">
        <v>2000</v>
      </c>
      <c r="E6" s="2">
        <v>210</v>
      </c>
      <c r="F6" s="3">
        <f>Table1[[#This Row],[Defective Units]]/Table1[[#This Row],[Total Unit]]</f>
        <v>1.35E-2</v>
      </c>
      <c r="G6" s="2" t="str">
        <f>_xlfn.SWITCH(TRUE(),ROUND(Table1[[#This Row],[Defect Rate]],2)&gt;=4%,"High Risk",ROUND(Table1[[#This Row],[Defect Rate]],2)&gt;=3%,"Medium Risk","Low Risk")</f>
        <v>Low Risk</v>
      </c>
      <c r="H6" s="2" t="str">
        <f>_xlfn.SWITCH(TRUE(),Table1[[#This Row],[Shipping Cost ($)]]&gt;=700,"Expensive",Table1[[#This Row],[Shipping Cost ($)]]&gt;=500,"Economical","Low Cost")</f>
        <v>Low Cost</v>
      </c>
      <c r="I6" s="1" t="s">
        <v>24</v>
      </c>
    </row>
    <row r="7" spans="1:17" x14ac:dyDescent="0.3">
      <c r="A7" s="1" t="s">
        <v>30</v>
      </c>
      <c r="B7" s="2">
        <v>28</v>
      </c>
      <c r="C7" s="1" t="s">
        <v>16</v>
      </c>
      <c r="D7" s="2">
        <v>2000</v>
      </c>
      <c r="E7" s="2">
        <v>540</v>
      </c>
      <c r="F7" s="3">
        <f>Table1[[#This Row],[Defective Units]]/Table1[[#This Row],[Total Unit]]</f>
        <v>1.4E-2</v>
      </c>
      <c r="G7" s="2" t="str">
        <f>_xlfn.SWITCH(TRUE(),ROUND(Table1[[#This Row],[Defect Rate]],2)&gt;=4%,"High Risk",ROUND(Table1[[#This Row],[Defect Rate]],2)&gt;=3%,"Medium Risk","Low Risk")</f>
        <v>Low Risk</v>
      </c>
      <c r="H7" s="2" t="str">
        <f>_xlfn.SWITCH(TRUE(),Table1[[#This Row],[Shipping Cost ($)]]&gt;=700,"Expensive",Table1[[#This Row],[Shipping Cost ($)]]&gt;=500,"Economical","Low Cost")</f>
        <v>Economical</v>
      </c>
      <c r="I7" s="1" t="s">
        <v>25</v>
      </c>
    </row>
    <row r="8" spans="1:17" x14ac:dyDescent="0.3">
      <c r="A8" s="1" t="s">
        <v>31</v>
      </c>
      <c r="B8" s="2">
        <v>29</v>
      </c>
      <c r="C8" s="1" t="s">
        <v>17</v>
      </c>
      <c r="D8" s="2">
        <v>2000</v>
      </c>
      <c r="E8" s="2">
        <v>290</v>
      </c>
      <c r="F8" s="3">
        <f>Table1[[#This Row],[Defective Units]]/Table1[[#This Row],[Total Unit]]</f>
        <v>1.4500000000000001E-2</v>
      </c>
      <c r="G8" s="2" t="str">
        <f>_xlfn.SWITCH(TRUE(),ROUND(Table1[[#This Row],[Defect Rate]],2)&gt;=4%,"High Risk",ROUND(Table1[[#This Row],[Defect Rate]],2)&gt;=3%,"Medium Risk","Low Risk")</f>
        <v>Low Risk</v>
      </c>
      <c r="H8" s="2" t="str">
        <f>_xlfn.SWITCH(TRUE(),Table1[[#This Row],[Shipping Cost ($)]]&gt;=700,"Expensive",Table1[[#This Row],[Shipping Cost ($)]]&gt;=500,"Economical","Low Cost")</f>
        <v>Low Cost</v>
      </c>
      <c r="I8" s="1" t="s">
        <v>24</v>
      </c>
    </row>
    <row r="9" spans="1:17" x14ac:dyDescent="0.3">
      <c r="A9" s="1" t="s">
        <v>32</v>
      </c>
      <c r="B9" s="2">
        <v>30</v>
      </c>
      <c r="C9" s="2" t="s">
        <v>20</v>
      </c>
      <c r="D9" s="2">
        <v>2000</v>
      </c>
      <c r="E9" s="2">
        <v>610</v>
      </c>
      <c r="F9" s="3">
        <f>Table1[[#This Row],[Defective Units]]/Table1[[#This Row],[Total Unit]]</f>
        <v>1.4999999999999999E-2</v>
      </c>
      <c r="G9" s="2" t="str">
        <f>_xlfn.SWITCH(TRUE(),ROUND(Table1[[#This Row],[Defect Rate]],2)&gt;=4%,"High Risk",ROUND(Table1[[#This Row],[Defect Rate]],2)&gt;=3%,"Medium Risk","Low Risk")</f>
        <v>Low Risk</v>
      </c>
      <c r="H9" s="2" t="str">
        <f>_xlfn.SWITCH(TRUE(),Table1[[#This Row],[Shipping Cost ($)]]&gt;=700,"Expensive",Table1[[#This Row],[Shipping Cost ($)]]&gt;=500,"Economical","Low Cost")</f>
        <v>Economical</v>
      </c>
      <c r="I9" s="1" t="s">
        <v>25</v>
      </c>
    </row>
    <row r="10" spans="1:17" x14ac:dyDescent="0.3">
      <c r="A10" s="1" t="s">
        <v>33</v>
      </c>
      <c r="B10" s="2">
        <v>31</v>
      </c>
      <c r="C10" s="2" t="s">
        <v>18</v>
      </c>
      <c r="D10" s="2">
        <v>2000</v>
      </c>
      <c r="E10" s="2">
        <v>120</v>
      </c>
      <c r="F10" s="3">
        <f>Table1[[#This Row],[Defective Units]]/Table1[[#This Row],[Total Unit]]</f>
        <v>1.55E-2</v>
      </c>
      <c r="G10" s="2" t="str">
        <f>_xlfn.SWITCH(TRUE(),ROUND(Table1[[#This Row],[Defect Rate]],2)&gt;=4%,"High Risk",ROUND(Table1[[#This Row],[Defect Rate]],2)&gt;=3%,"Medium Risk","Low Risk")</f>
        <v>Low Risk</v>
      </c>
      <c r="H10" s="2" t="str">
        <f>_xlfn.SWITCH(TRUE(),Table1[[#This Row],[Shipping Cost ($)]]&gt;=700,"Expensive",Table1[[#This Row],[Shipping Cost ($)]]&gt;=500,"Economical","Low Cost")</f>
        <v>Low Cost</v>
      </c>
      <c r="I10" s="1" t="s">
        <v>24</v>
      </c>
    </row>
    <row r="11" spans="1:17" x14ac:dyDescent="0.3">
      <c r="A11" s="1" t="s">
        <v>34</v>
      </c>
      <c r="B11" s="2">
        <v>32</v>
      </c>
      <c r="C11" s="2" t="s">
        <v>19</v>
      </c>
      <c r="D11" s="2">
        <v>2000</v>
      </c>
      <c r="E11" s="2">
        <v>480</v>
      </c>
      <c r="F11" s="3">
        <f>Table1[[#This Row],[Defective Units]]/Table1[[#This Row],[Total Unit]]</f>
        <v>1.6E-2</v>
      </c>
      <c r="G11" s="2" t="str">
        <f>_xlfn.SWITCH(TRUE(),ROUND(Table1[[#This Row],[Defect Rate]],2)&gt;=4%,"High Risk",ROUND(Table1[[#This Row],[Defect Rate]],2)&gt;=3%,"Medium Risk","Low Risk")</f>
        <v>Low Risk</v>
      </c>
      <c r="H11" s="2" t="str">
        <f>_xlfn.SWITCH(TRUE(),Table1[[#This Row],[Shipping Cost ($)]]&gt;=700,"Expensive",Table1[[#This Row],[Shipping Cost ($)]]&gt;=500,"Economical","Low Cost")</f>
        <v>Low Cost</v>
      </c>
      <c r="I11" s="1" t="s">
        <v>25</v>
      </c>
    </row>
    <row r="12" spans="1:17" x14ac:dyDescent="0.3">
      <c r="A12" s="1" t="s">
        <v>35</v>
      </c>
      <c r="B12" s="2">
        <v>33</v>
      </c>
      <c r="C12" s="2" t="s">
        <v>21</v>
      </c>
      <c r="D12" s="2">
        <v>2000</v>
      </c>
      <c r="E12" s="2">
        <v>150</v>
      </c>
      <c r="F12" s="3">
        <f>Table1[[#This Row],[Defective Units]]/Table1[[#This Row],[Total Unit]]</f>
        <v>1.6500000000000001E-2</v>
      </c>
      <c r="G12" s="2" t="str">
        <f>_xlfn.SWITCH(TRUE(),ROUND(Table1[[#This Row],[Defect Rate]],2)&gt;=4%,"High Risk",ROUND(Table1[[#This Row],[Defect Rate]],2)&gt;=3%,"Medium Risk","Low Risk")</f>
        <v>Low Risk</v>
      </c>
      <c r="H12" s="2" t="str">
        <f>_xlfn.SWITCH(TRUE(),Table1[[#This Row],[Shipping Cost ($)]]&gt;=700,"Expensive",Table1[[#This Row],[Shipping Cost ($)]]&gt;=500,"Economical","Low Cost")</f>
        <v>Low Cost</v>
      </c>
      <c r="I12" s="1" t="s">
        <v>24</v>
      </c>
      <c r="K12" s="14" t="s">
        <v>22</v>
      </c>
      <c r="L12" s="14" t="s">
        <v>0</v>
      </c>
    </row>
    <row r="13" spans="1:17" x14ac:dyDescent="0.3">
      <c r="A13" s="1" t="s">
        <v>36</v>
      </c>
      <c r="B13" s="2">
        <v>34</v>
      </c>
      <c r="C13" s="1" t="s">
        <v>13</v>
      </c>
      <c r="D13" s="2">
        <v>2000</v>
      </c>
      <c r="E13" s="2">
        <v>720</v>
      </c>
      <c r="F13" s="3">
        <f>Table1[[#This Row],[Defective Units]]/Table1[[#This Row],[Total Unit]]</f>
        <v>1.7000000000000001E-2</v>
      </c>
      <c r="G13" s="2" t="str">
        <f>_xlfn.SWITCH(TRUE(),ROUND(Table1[[#This Row],[Defect Rate]],2)&gt;=4%,"High Risk",ROUND(Table1[[#This Row],[Defect Rate]],2)&gt;=3%,"Medium Risk","Low Risk")</f>
        <v>Low Risk</v>
      </c>
      <c r="H13" s="2" t="str">
        <f>_xlfn.SWITCH(TRUE(),Table1[[#This Row],[Shipping Cost ($)]]&gt;=700,"Expensive",Table1[[#This Row],[Shipping Cost ($)]]&gt;=500,"Economical","Low Cost")</f>
        <v>Expensive</v>
      </c>
      <c r="I13" s="1" t="s">
        <v>25</v>
      </c>
      <c r="K13" s="15" t="s">
        <v>13</v>
      </c>
      <c r="L13" s="16">
        <f>SUMIF(Table1[[#All],[Defect Type]],C4,Table1[[#All],[Defective Units]])</f>
        <v>1490</v>
      </c>
    </row>
    <row r="14" spans="1:17" x14ac:dyDescent="0.3">
      <c r="A14" s="1" t="s">
        <v>37</v>
      </c>
      <c r="B14" s="2">
        <v>35</v>
      </c>
      <c r="C14" s="1" t="s">
        <v>14</v>
      </c>
      <c r="D14" s="2">
        <v>2000</v>
      </c>
      <c r="E14" s="2">
        <v>330</v>
      </c>
      <c r="F14" s="3">
        <f>Table1[[#This Row],[Defective Units]]/Table1[[#This Row],[Total Unit]]</f>
        <v>1.7500000000000002E-2</v>
      </c>
      <c r="G14" s="2" t="str">
        <f>_xlfn.SWITCH(TRUE(),ROUND(Table1[[#This Row],[Defect Rate]],2)&gt;=4%,"High Risk",ROUND(Table1[[#This Row],[Defect Rate]],2)&gt;=3%,"Medium Risk","Low Risk")</f>
        <v>Low Risk</v>
      </c>
      <c r="H14" s="2" t="str">
        <f>_xlfn.SWITCH(TRUE(),Table1[[#This Row],[Shipping Cost ($)]]&gt;=700,"Expensive",Table1[[#This Row],[Shipping Cost ($)]]&gt;=500,"Economical","Low Cost")</f>
        <v>Low Cost</v>
      </c>
      <c r="I14" s="1" t="s">
        <v>24</v>
      </c>
      <c r="K14" s="17" t="s">
        <v>14</v>
      </c>
      <c r="L14" s="16">
        <f>SUMIF(Table1[[#All],[Defect Type]],K14,Table1[[#All],[Defective Units]])</f>
        <v>1310</v>
      </c>
    </row>
    <row r="15" spans="1:17" x14ac:dyDescent="0.3">
      <c r="A15" s="1" t="s">
        <v>38</v>
      </c>
      <c r="B15" s="2">
        <v>36</v>
      </c>
      <c r="C15" s="1" t="s">
        <v>15</v>
      </c>
      <c r="D15" s="2">
        <v>2000</v>
      </c>
      <c r="E15" s="2">
        <v>90</v>
      </c>
      <c r="F15" s="3">
        <f>Table1[[#This Row],[Defective Units]]/Table1[[#This Row],[Total Unit]]</f>
        <v>1.7999999999999999E-2</v>
      </c>
      <c r="G15" s="2" t="str">
        <f>_xlfn.SWITCH(TRUE(),ROUND(Table1[[#This Row],[Defect Rate]],2)&gt;=4%,"High Risk",ROUND(Table1[[#This Row],[Defect Rate]],2)&gt;=3%,"Medium Risk","Low Risk")</f>
        <v>Low Risk</v>
      </c>
      <c r="H15" s="2" t="str">
        <f>_xlfn.SWITCH(TRUE(),Table1[[#This Row],[Shipping Cost ($)]]&gt;=700,"Expensive",Table1[[#This Row],[Shipping Cost ($)]]&gt;=500,"Economical","Low Cost")</f>
        <v>Low Cost</v>
      </c>
      <c r="I15" s="1" t="s">
        <v>25</v>
      </c>
      <c r="K15" s="15" t="s">
        <v>15</v>
      </c>
      <c r="L15" s="16">
        <f>SUMIF(Table1[[#All],[Defect Type]],K15,Table1[[#All],[Defective Units]])</f>
        <v>1263</v>
      </c>
    </row>
    <row r="16" spans="1:17" x14ac:dyDescent="0.3">
      <c r="A16" s="1" t="s">
        <v>39</v>
      </c>
      <c r="B16" s="2">
        <v>37</v>
      </c>
      <c r="C16" s="1" t="s">
        <v>16</v>
      </c>
      <c r="D16" s="2">
        <v>2000</v>
      </c>
      <c r="E16" s="2">
        <v>500</v>
      </c>
      <c r="F16" s="3">
        <f>Table1[[#This Row],[Defective Units]]/Table1[[#This Row],[Total Unit]]</f>
        <v>1.8499999999999999E-2</v>
      </c>
      <c r="G16" s="2" t="str">
        <f>_xlfn.SWITCH(TRUE(),ROUND(Table1[[#This Row],[Defect Rate]],2)&gt;=4%,"High Risk",ROUND(Table1[[#This Row],[Defect Rate]],2)&gt;=3%,"Medium Risk","Low Risk")</f>
        <v>Low Risk</v>
      </c>
      <c r="H16" s="2" t="str">
        <f>_xlfn.SWITCH(TRUE(),Table1[[#This Row],[Shipping Cost ($)]]&gt;=700,"Expensive",Table1[[#This Row],[Shipping Cost ($)]]&gt;=500,"Economical","Low Cost")</f>
        <v>Economical</v>
      </c>
      <c r="I16" s="1" t="s">
        <v>24</v>
      </c>
      <c r="K16" s="17" t="s">
        <v>16</v>
      </c>
      <c r="L16" s="16">
        <f>SUMIF(Table1[[#All],[Defect Type]],K16,Table1[[#All],[Defective Units]])</f>
        <v>1250</v>
      </c>
    </row>
    <row r="17" spans="1:12" x14ac:dyDescent="0.3">
      <c r="A17" s="1" t="s">
        <v>40</v>
      </c>
      <c r="B17" s="2">
        <v>38</v>
      </c>
      <c r="C17" s="1" t="s">
        <v>17</v>
      </c>
      <c r="D17" s="2">
        <v>2000</v>
      </c>
      <c r="E17" s="2">
        <v>110</v>
      </c>
      <c r="F17" s="3">
        <f>Table1[[#This Row],[Defective Units]]/Table1[[#This Row],[Total Unit]]</f>
        <v>1.9E-2</v>
      </c>
      <c r="G17" s="2" t="str">
        <f>_xlfn.SWITCH(TRUE(),ROUND(Table1[[#This Row],[Defect Rate]],2)&gt;=4%,"High Risk",ROUND(Table1[[#This Row],[Defect Rate]],2)&gt;=3%,"Medium Risk","Low Risk")</f>
        <v>Low Risk</v>
      </c>
      <c r="H17" s="2" t="str">
        <f>_xlfn.SWITCH(TRUE(),Table1[[#This Row],[Shipping Cost ($)]]&gt;=700,"Expensive",Table1[[#This Row],[Shipping Cost ($)]]&gt;=500,"Economical","Low Cost")</f>
        <v>Low Cost</v>
      </c>
      <c r="I17" s="1" t="s">
        <v>25</v>
      </c>
      <c r="K17" s="15" t="s">
        <v>17</v>
      </c>
      <c r="L17" s="16">
        <f>SUMIF(Table1[[#All],[Defect Type]],K17,Table1[[#All],[Defective Units]])</f>
        <v>1285</v>
      </c>
    </row>
    <row r="18" spans="1:12" x14ac:dyDescent="0.3">
      <c r="A18" s="1" t="s">
        <v>41</v>
      </c>
      <c r="B18" s="2">
        <v>39</v>
      </c>
      <c r="C18" s="2" t="s">
        <v>20</v>
      </c>
      <c r="D18" s="2">
        <v>2000</v>
      </c>
      <c r="E18" s="2">
        <v>850</v>
      </c>
      <c r="F18" s="3">
        <f>Table1[[#This Row],[Defective Units]]/Table1[[#This Row],[Total Unit]]</f>
        <v>1.95E-2</v>
      </c>
      <c r="G18" s="2" t="str">
        <f>_xlfn.SWITCH(TRUE(),ROUND(Table1[[#This Row],[Defect Rate]],2)&gt;=4%,"High Risk",ROUND(Table1[[#This Row],[Defect Rate]],2)&gt;=3%,"Medium Risk","Low Risk")</f>
        <v>Low Risk</v>
      </c>
      <c r="H18" s="2" t="str">
        <f>_xlfn.SWITCH(TRUE(),Table1[[#This Row],[Shipping Cost ($)]]&gt;=700,"Expensive",Table1[[#This Row],[Shipping Cost ($)]]&gt;=500,"Economical","Low Cost")</f>
        <v>Expensive</v>
      </c>
      <c r="I18" s="1" t="s">
        <v>24</v>
      </c>
      <c r="K18" s="18" t="s">
        <v>20</v>
      </c>
      <c r="L18" s="16">
        <f>SUMIF(Table1[[#All],[Defect Type]],K18,Table1[[#All],[Defective Units]])</f>
        <v>1322</v>
      </c>
    </row>
    <row r="19" spans="1:12" x14ac:dyDescent="0.3">
      <c r="A19" s="1" t="s">
        <v>42</v>
      </c>
      <c r="B19" s="2">
        <v>40</v>
      </c>
      <c r="C19" s="2" t="s">
        <v>18</v>
      </c>
      <c r="D19" s="2">
        <v>2000</v>
      </c>
      <c r="E19" s="2">
        <v>180</v>
      </c>
      <c r="F19" s="3">
        <f>Table1[[#This Row],[Defective Units]]/Table1[[#This Row],[Total Unit]]</f>
        <v>0.02</v>
      </c>
      <c r="G19" s="2" t="str">
        <f>_xlfn.SWITCH(TRUE(),ROUND(Table1[[#This Row],[Defect Rate]],2)&gt;=4%,"High Risk",ROUND(Table1[[#This Row],[Defect Rate]],2)&gt;=3%,"Medium Risk","Low Risk")</f>
        <v>Low Risk</v>
      </c>
      <c r="H19" s="2" t="str">
        <f>_xlfn.SWITCH(TRUE(),Table1[[#This Row],[Shipping Cost ($)]]&gt;=700,"Expensive",Table1[[#This Row],[Shipping Cost ($)]]&gt;=500,"Economical","Low Cost")</f>
        <v>Low Cost</v>
      </c>
      <c r="I19" s="1" t="s">
        <v>25</v>
      </c>
      <c r="K19" s="19" t="s">
        <v>18</v>
      </c>
      <c r="L19" s="16">
        <f>SUMIF(Table1[[#All],[Defect Type]],K19,Table1[[#All],[Defective Units]])</f>
        <v>1246</v>
      </c>
    </row>
    <row r="20" spans="1:12" x14ac:dyDescent="0.3">
      <c r="A20" s="1" t="s">
        <v>43</v>
      </c>
      <c r="B20" s="2">
        <v>41</v>
      </c>
      <c r="C20" s="2" t="s">
        <v>19</v>
      </c>
      <c r="D20" s="2">
        <v>2000</v>
      </c>
      <c r="E20" s="2">
        <v>420</v>
      </c>
      <c r="F20" s="3">
        <f>Table1[[#This Row],[Defective Units]]/Table1[[#This Row],[Total Unit]]</f>
        <v>2.0500000000000001E-2</v>
      </c>
      <c r="G20" s="2" t="str">
        <f>_xlfn.SWITCH(TRUE(),ROUND(Table1[[#This Row],[Defect Rate]],2)&gt;=4%,"High Risk",ROUND(Table1[[#This Row],[Defect Rate]],2)&gt;=3%,"Medium Risk","Low Risk")</f>
        <v>Low Risk</v>
      </c>
      <c r="H20" s="2" t="str">
        <f>_xlfn.SWITCH(TRUE(),Table1[[#This Row],[Shipping Cost ($)]]&gt;=700,"Expensive",Table1[[#This Row],[Shipping Cost ($)]]&gt;=500,"Economical","Low Cost")</f>
        <v>Low Cost</v>
      </c>
      <c r="I20" s="1" t="s">
        <v>24</v>
      </c>
      <c r="K20" s="18" t="s">
        <v>19</v>
      </c>
      <c r="L20" s="16">
        <f>SUMIF(Table1[[#All],[Defect Type]],K20,Table1[[#All],[Defective Units]])</f>
        <v>1236</v>
      </c>
    </row>
    <row r="21" spans="1:12" x14ac:dyDescent="0.3">
      <c r="A21" s="1" t="s">
        <v>44</v>
      </c>
      <c r="B21" s="2">
        <v>42</v>
      </c>
      <c r="C21" s="2" t="s">
        <v>21</v>
      </c>
      <c r="D21" s="2">
        <v>2000</v>
      </c>
      <c r="E21" s="2">
        <v>260</v>
      </c>
      <c r="F21" s="3">
        <f>Table1[[#This Row],[Defective Units]]/Table1[[#This Row],[Total Unit]]</f>
        <v>2.1000000000000001E-2</v>
      </c>
      <c r="G21" s="2" t="str">
        <f>_xlfn.SWITCH(TRUE(),ROUND(Table1[[#This Row],[Defect Rate]],2)&gt;=4%,"High Risk",ROUND(Table1[[#This Row],[Defect Rate]],2)&gt;=3%,"Medium Risk","Low Risk")</f>
        <v>Low Risk</v>
      </c>
      <c r="H21" s="2" t="str">
        <f>_xlfn.SWITCH(TRUE(),Table1[[#This Row],[Shipping Cost ($)]]&gt;=700,"Expensive",Table1[[#This Row],[Shipping Cost ($)]]&gt;=500,"Economical","Low Cost")</f>
        <v>Low Cost</v>
      </c>
      <c r="I21" s="1" t="s">
        <v>25</v>
      </c>
      <c r="K21" s="19" t="s">
        <v>21</v>
      </c>
      <c r="L21" s="16">
        <f>SUMIF(Table1[[#All],[Defect Type]],K21,Table1[[#All],[Defective Units]])</f>
        <v>1258</v>
      </c>
    </row>
    <row r="22" spans="1:12" x14ac:dyDescent="0.3">
      <c r="A22" s="1" t="s">
        <v>45</v>
      </c>
      <c r="B22" s="2">
        <v>43</v>
      </c>
      <c r="C22" s="1" t="s">
        <v>13</v>
      </c>
      <c r="D22" s="2">
        <v>2000</v>
      </c>
      <c r="E22" s="2">
        <v>140</v>
      </c>
      <c r="F22" s="3">
        <f>Table1[[#This Row],[Defective Units]]/Table1[[#This Row],[Total Unit]]</f>
        <v>2.1499999999999998E-2</v>
      </c>
      <c r="G22" s="2" t="str">
        <f>_xlfn.SWITCH(TRUE(),ROUND(Table1[[#This Row],[Defect Rate]],2)&gt;=4%,"High Risk",ROUND(Table1[[#This Row],[Defect Rate]],2)&gt;=3%,"Medium Risk","Low Risk")</f>
        <v>Low Risk</v>
      </c>
      <c r="H22" s="2" t="str">
        <f>_xlfn.SWITCH(TRUE(),Table1[[#This Row],[Shipping Cost ($)]]&gt;=700,"Expensive",Table1[[#This Row],[Shipping Cost ($)]]&gt;=500,"Economical","Low Cost")</f>
        <v>Low Cost</v>
      </c>
      <c r="I22" s="1" t="s">
        <v>24</v>
      </c>
      <c r="L22" s="21"/>
    </row>
    <row r="23" spans="1:12" x14ac:dyDescent="0.3">
      <c r="A23" s="1" t="s">
        <v>46</v>
      </c>
      <c r="B23" s="2">
        <v>44</v>
      </c>
      <c r="C23" s="1" t="s">
        <v>14</v>
      </c>
      <c r="D23" s="2">
        <v>2000</v>
      </c>
      <c r="E23" s="2">
        <v>980</v>
      </c>
      <c r="F23" s="3">
        <f>Table1[[#This Row],[Defective Units]]/Table1[[#This Row],[Total Unit]]</f>
        <v>2.1999999999999999E-2</v>
      </c>
      <c r="G23" s="2" t="str">
        <f>_xlfn.SWITCH(TRUE(),ROUND(Table1[[#This Row],[Defect Rate]],2)&gt;=4%,"High Risk",ROUND(Table1[[#This Row],[Defect Rate]],2)&gt;=3%,"Medium Risk","Low Risk")</f>
        <v>Low Risk</v>
      </c>
      <c r="H23" s="2" t="str">
        <f>_xlfn.SWITCH(TRUE(),Table1[[#This Row],[Shipping Cost ($)]]&gt;=700,"Expensive",Table1[[#This Row],[Shipping Cost ($)]]&gt;=500,"Economical","Low Cost")</f>
        <v>Expensive</v>
      </c>
      <c r="I23" s="1" t="s">
        <v>25</v>
      </c>
    </row>
    <row r="24" spans="1:12" x14ac:dyDescent="0.3">
      <c r="A24" s="1" t="s">
        <v>47</v>
      </c>
      <c r="B24" s="2">
        <v>45</v>
      </c>
      <c r="C24" s="1" t="s">
        <v>15</v>
      </c>
      <c r="D24" s="2">
        <v>2000</v>
      </c>
      <c r="E24" s="2">
        <v>310</v>
      </c>
      <c r="F24" s="3">
        <f>Table1[[#This Row],[Defective Units]]/Table1[[#This Row],[Total Unit]]</f>
        <v>2.2499999999999999E-2</v>
      </c>
      <c r="G24" s="2" t="str">
        <f>_xlfn.SWITCH(TRUE(),ROUND(Table1[[#This Row],[Defect Rate]],2)&gt;=4%,"High Risk",ROUND(Table1[[#This Row],[Defect Rate]],2)&gt;=3%,"Medium Risk","Low Risk")</f>
        <v>Low Risk</v>
      </c>
      <c r="H24" s="2" t="str">
        <f>_xlfn.SWITCH(TRUE(),Table1[[#This Row],[Shipping Cost ($)]]&gt;=700,"Expensive",Table1[[#This Row],[Shipping Cost ($)]]&gt;=500,"Economical","Low Cost")</f>
        <v>Low Cost</v>
      </c>
      <c r="I24" s="1" t="s">
        <v>24</v>
      </c>
    </row>
    <row r="25" spans="1:12" x14ac:dyDescent="0.3">
      <c r="A25" s="1" t="s">
        <v>48</v>
      </c>
      <c r="B25" s="2">
        <v>46</v>
      </c>
      <c r="C25" s="1" t="s">
        <v>16</v>
      </c>
      <c r="D25" s="2">
        <v>2000</v>
      </c>
      <c r="E25" s="2">
        <v>95</v>
      </c>
      <c r="F25" s="3">
        <f>Table1[[#This Row],[Defective Units]]/Table1[[#This Row],[Total Unit]]</f>
        <v>2.3E-2</v>
      </c>
      <c r="G25" s="2" t="str">
        <f>_xlfn.SWITCH(TRUE(),ROUND(Table1[[#This Row],[Defect Rate]],2)&gt;=4%,"High Risk",ROUND(Table1[[#This Row],[Defect Rate]],2)&gt;=3%,"Medium Risk","Low Risk")</f>
        <v>Low Risk</v>
      </c>
      <c r="H25" s="2" t="str">
        <f>_xlfn.SWITCH(TRUE(),Table1[[#This Row],[Shipping Cost ($)]]&gt;=700,"Expensive",Table1[[#This Row],[Shipping Cost ($)]]&gt;=500,"Economical","Low Cost")</f>
        <v>Low Cost</v>
      </c>
      <c r="I25" s="1" t="s">
        <v>25</v>
      </c>
    </row>
    <row r="26" spans="1:12" x14ac:dyDescent="0.3">
      <c r="A26" s="1" t="s">
        <v>49</v>
      </c>
      <c r="B26" s="2">
        <v>47</v>
      </c>
      <c r="C26" s="1" t="s">
        <v>17</v>
      </c>
      <c r="D26" s="2">
        <v>2000</v>
      </c>
      <c r="E26" s="2">
        <v>770</v>
      </c>
      <c r="F26" s="3">
        <f>Table1[[#This Row],[Defective Units]]/Table1[[#This Row],[Total Unit]]</f>
        <v>2.35E-2</v>
      </c>
      <c r="G26" s="2" t="str">
        <f>_xlfn.SWITCH(TRUE(),ROUND(Table1[[#This Row],[Defect Rate]],2)&gt;=4%,"High Risk",ROUND(Table1[[#This Row],[Defect Rate]],2)&gt;=3%,"Medium Risk","Low Risk")</f>
        <v>Low Risk</v>
      </c>
      <c r="H26" s="2" t="str">
        <f>_xlfn.SWITCH(TRUE(),Table1[[#This Row],[Shipping Cost ($)]]&gt;=700,"Expensive",Table1[[#This Row],[Shipping Cost ($)]]&gt;=500,"Economical","Low Cost")</f>
        <v>Expensive</v>
      </c>
      <c r="I26" s="1" t="s">
        <v>24</v>
      </c>
    </row>
    <row r="27" spans="1:12" x14ac:dyDescent="0.3">
      <c r="A27" s="1" t="s">
        <v>50</v>
      </c>
      <c r="B27" s="2">
        <v>48</v>
      </c>
      <c r="C27" s="2" t="s">
        <v>20</v>
      </c>
      <c r="D27" s="2">
        <v>2000</v>
      </c>
      <c r="E27" s="2">
        <v>130</v>
      </c>
      <c r="F27" s="3">
        <f>Table1[[#This Row],[Defective Units]]/Table1[[#This Row],[Total Unit]]</f>
        <v>2.4E-2</v>
      </c>
      <c r="G27" s="2" t="str">
        <f>_xlfn.SWITCH(TRUE(),ROUND(Table1[[#This Row],[Defect Rate]],2)&gt;=4%,"High Risk",ROUND(Table1[[#This Row],[Defect Rate]],2)&gt;=3%,"Medium Risk","Low Risk")</f>
        <v>Low Risk</v>
      </c>
      <c r="H27" s="2" t="str">
        <f>_xlfn.SWITCH(TRUE(),Table1[[#This Row],[Shipping Cost ($)]]&gt;=700,"Expensive",Table1[[#This Row],[Shipping Cost ($)]]&gt;=500,"Economical","Low Cost")</f>
        <v>Low Cost</v>
      </c>
      <c r="I27" s="1" t="s">
        <v>25</v>
      </c>
    </row>
    <row r="28" spans="1:12" x14ac:dyDescent="0.3">
      <c r="A28" s="1" t="s">
        <v>51</v>
      </c>
      <c r="B28" s="2">
        <v>49</v>
      </c>
      <c r="C28" s="2" t="s">
        <v>18</v>
      </c>
      <c r="D28" s="2">
        <v>2000</v>
      </c>
      <c r="E28" s="2">
        <v>460</v>
      </c>
      <c r="F28" s="3">
        <f>Table1[[#This Row],[Defective Units]]/Table1[[#This Row],[Total Unit]]</f>
        <v>2.4500000000000001E-2</v>
      </c>
      <c r="G28" s="2" t="str">
        <f>_xlfn.SWITCH(TRUE(),ROUND(Table1[[#This Row],[Defect Rate]],2)&gt;=4%,"High Risk",ROUND(Table1[[#This Row],[Defect Rate]],2)&gt;=3%,"Medium Risk","Low Risk")</f>
        <v>Low Risk</v>
      </c>
      <c r="H28" s="2" t="str">
        <f>_xlfn.SWITCH(TRUE(),Table1[[#This Row],[Shipping Cost ($)]]&gt;=700,"Expensive",Table1[[#This Row],[Shipping Cost ($)]]&gt;=500,"Economical","Low Cost")</f>
        <v>Low Cost</v>
      </c>
      <c r="I28" s="1" t="s">
        <v>24</v>
      </c>
    </row>
    <row r="29" spans="1:12" x14ac:dyDescent="0.3">
      <c r="A29" s="1" t="s">
        <v>52</v>
      </c>
      <c r="B29" s="2">
        <v>50</v>
      </c>
      <c r="C29" s="2" t="s">
        <v>19</v>
      </c>
      <c r="D29" s="2">
        <v>2000</v>
      </c>
      <c r="E29" s="2">
        <v>390</v>
      </c>
      <c r="F29" s="3">
        <f>Table1[[#This Row],[Defective Units]]/Table1[[#This Row],[Total Unit]]</f>
        <v>2.5000000000000001E-2</v>
      </c>
      <c r="G29" s="2" t="str">
        <f>_xlfn.SWITCH(TRUE(),ROUND(Table1[[#This Row],[Defect Rate]],2)&gt;=4%,"High Risk",ROUND(Table1[[#This Row],[Defect Rate]],2)&gt;=3%,"Medium Risk","Low Risk")</f>
        <v>Medium Risk</v>
      </c>
      <c r="H29" s="2" t="str">
        <f>_xlfn.SWITCH(TRUE(),Table1[[#This Row],[Shipping Cost ($)]]&gt;=700,"Expensive",Table1[[#This Row],[Shipping Cost ($)]]&gt;=500,"Economical","Low Cost")</f>
        <v>Low Cost</v>
      </c>
      <c r="I29" s="1" t="s">
        <v>25</v>
      </c>
    </row>
    <row r="30" spans="1:12" x14ac:dyDescent="0.3">
      <c r="A30" s="1" t="s">
        <v>53</v>
      </c>
      <c r="B30" s="2">
        <v>51</v>
      </c>
      <c r="C30" s="2" t="s">
        <v>21</v>
      </c>
      <c r="D30" s="2">
        <v>2000</v>
      </c>
      <c r="E30" s="2">
        <v>520</v>
      </c>
      <c r="F30" s="3">
        <f>Table1[[#This Row],[Defective Units]]/Table1[[#This Row],[Total Unit]]</f>
        <v>2.5499999999999998E-2</v>
      </c>
      <c r="G30" s="2" t="str">
        <f>_xlfn.SWITCH(TRUE(),ROUND(Table1[[#This Row],[Defect Rate]],2)&gt;=4%,"High Risk",ROUND(Table1[[#This Row],[Defect Rate]],2)&gt;=3%,"Medium Risk","Low Risk")</f>
        <v>Medium Risk</v>
      </c>
      <c r="H30" s="2" t="str">
        <f>_xlfn.SWITCH(TRUE(),Table1[[#This Row],[Shipping Cost ($)]]&gt;=700,"Expensive",Table1[[#This Row],[Shipping Cost ($)]]&gt;=500,"Economical","Low Cost")</f>
        <v>Economical</v>
      </c>
      <c r="I30" s="1" t="s">
        <v>24</v>
      </c>
    </row>
    <row r="31" spans="1:12" x14ac:dyDescent="0.3">
      <c r="A31" s="1" t="s">
        <v>54</v>
      </c>
      <c r="B31" s="2">
        <v>52</v>
      </c>
      <c r="C31" s="1" t="s">
        <v>13</v>
      </c>
      <c r="D31" s="2">
        <v>2000</v>
      </c>
      <c r="E31" s="2">
        <v>85</v>
      </c>
      <c r="F31" s="3">
        <f>Table1[[#This Row],[Defective Units]]/Table1[[#This Row],[Total Unit]]</f>
        <v>2.5999999999999999E-2</v>
      </c>
      <c r="G31" s="2" t="str">
        <f>_xlfn.SWITCH(TRUE(),ROUND(Table1[[#This Row],[Defect Rate]],2)&gt;=4%,"High Risk",ROUND(Table1[[#This Row],[Defect Rate]],2)&gt;=3%,"Medium Risk","Low Risk")</f>
        <v>Medium Risk</v>
      </c>
      <c r="H31" s="2" t="str">
        <f>_xlfn.SWITCH(TRUE(),Table1[[#This Row],[Shipping Cost ($)]]&gt;=700,"Expensive",Table1[[#This Row],[Shipping Cost ($)]]&gt;=500,"Economical","Low Cost")</f>
        <v>Low Cost</v>
      </c>
      <c r="I31" s="1" t="s">
        <v>25</v>
      </c>
    </row>
    <row r="32" spans="1:12" x14ac:dyDescent="0.3">
      <c r="A32" s="1" t="s">
        <v>55</v>
      </c>
      <c r="B32" s="2">
        <v>53</v>
      </c>
      <c r="C32" s="1" t="s">
        <v>14</v>
      </c>
      <c r="D32" s="2">
        <v>2000</v>
      </c>
      <c r="E32" s="2">
        <v>220</v>
      </c>
      <c r="F32" s="3">
        <f>Table1[[#This Row],[Defective Units]]/Table1[[#This Row],[Total Unit]]</f>
        <v>2.6499999999999999E-2</v>
      </c>
      <c r="G32" s="2" t="str">
        <f>_xlfn.SWITCH(TRUE(),ROUND(Table1[[#This Row],[Defect Rate]],2)&gt;=4%,"High Risk",ROUND(Table1[[#This Row],[Defect Rate]],2)&gt;=3%,"Medium Risk","Low Risk")</f>
        <v>Medium Risk</v>
      </c>
      <c r="H32" s="2" t="str">
        <f>_xlfn.SWITCH(TRUE(),Table1[[#This Row],[Shipping Cost ($)]]&gt;=700,"Expensive",Table1[[#This Row],[Shipping Cost ($)]]&gt;=500,"Economical","Low Cost")</f>
        <v>Low Cost</v>
      </c>
      <c r="I32" s="1" t="s">
        <v>24</v>
      </c>
    </row>
    <row r="33" spans="1:9" x14ac:dyDescent="0.3">
      <c r="A33" s="1" t="s">
        <v>56</v>
      </c>
      <c r="B33" s="2">
        <v>54</v>
      </c>
      <c r="C33" s="1" t="s">
        <v>15</v>
      </c>
      <c r="D33" s="2">
        <v>2000</v>
      </c>
      <c r="E33" s="2">
        <v>890</v>
      </c>
      <c r="F33" s="3">
        <f>Table1[[#This Row],[Defective Units]]/Table1[[#This Row],[Total Unit]]</f>
        <v>2.7E-2</v>
      </c>
      <c r="G33" s="2" t="str">
        <f>_xlfn.SWITCH(TRUE(),ROUND(Table1[[#This Row],[Defect Rate]],2)&gt;=4%,"High Risk",ROUND(Table1[[#This Row],[Defect Rate]],2)&gt;=3%,"Medium Risk","Low Risk")</f>
        <v>Medium Risk</v>
      </c>
      <c r="H33" s="2" t="str">
        <f>_xlfn.SWITCH(TRUE(),Table1[[#This Row],[Shipping Cost ($)]]&gt;=700,"Expensive",Table1[[#This Row],[Shipping Cost ($)]]&gt;=500,"Economical","Low Cost")</f>
        <v>Expensive</v>
      </c>
      <c r="I33" s="1" t="s">
        <v>25</v>
      </c>
    </row>
    <row r="34" spans="1:9" x14ac:dyDescent="0.3">
      <c r="A34" s="1" t="s">
        <v>57</v>
      </c>
      <c r="B34" s="2">
        <v>55</v>
      </c>
      <c r="C34" s="1" t="s">
        <v>16</v>
      </c>
      <c r="D34" s="2">
        <v>2000</v>
      </c>
      <c r="E34" s="2">
        <v>340</v>
      </c>
      <c r="F34" s="3">
        <f>Table1[[#This Row],[Defective Units]]/Table1[[#This Row],[Total Unit]]</f>
        <v>2.75E-2</v>
      </c>
      <c r="G34" s="2" t="str">
        <f>_xlfn.SWITCH(TRUE(),ROUND(Table1[[#This Row],[Defect Rate]],2)&gt;=4%,"High Risk",ROUND(Table1[[#This Row],[Defect Rate]],2)&gt;=3%,"Medium Risk","Low Risk")</f>
        <v>Medium Risk</v>
      </c>
      <c r="H34" s="2" t="str">
        <f>_xlfn.SWITCH(TRUE(),Table1[[#This Row],[Shipping Cost ($)]]&gt;=700,"Expensive",Table1[[#This Row],[Shipping Cost ($)]]&gt;=500,"Economical","Low Cost")</f>
        <v>Low Cost</v>
      </c>
      <c r="I34" s="1" t="s">
        <v>24</v>
      </c>
    </row>
    <row r="35" spans="1:9" x14ac:dyDescent="0.3">
      <c r="A35" s="1" t="s">
        <v>58</v>
      </c>
      <c r="B35" s="2">
        <v>56</v>
      </c>
      <c r="C35" s="1" t="s">
        <v>17</v>
      </c>
      <c r="D35" s="2">
        <v>2000</v>
      </c>
      <c r="E35" s="2">
        <v>275</v>
      </c>
      <c r="F35" s="3">
        <f>Table1[[#This Row],[Defective Units]]/Table1[[#This Row],[Total Unit]]</f>
        <v>2.8000000000000001E-2</v>
      </c>
      <c r="G35" s="2" t="str">
        <f>_xlfn.SWITCH(TRUE(),ROUND(Table1[[#This Row],[Defect Rate]],2)&gt;=4%,"High Risk",ROUND(Table1[[#This Row],[Defect Rate]],2)&gt;=3%,"Medium Risk","Low Risk")</f>
        <v>Medium Risk</v>
      </c>
      <c r="H35" s="2" t="str">
        <f>_xlfn.SWITCH(TRUE(),Table1[[#This Row],[Shipping Cost ($)]]&gt;=700,"Expensive",Table1[[#This Row],[Shipping Cost ($)]]&gt;=500,"Economical","Low Cost")</f>
        <v>Low Cost</v>
      </c>
      <c r="I35" s="1" t="s">
        <v>25</v>
      </c>
    </row>
    <row r="36" spans="1:9" x14ac:dyDescent="0.3">
      <c r="A36" s="1" t="s">
        <v>59</v>
      </c>
      <c r="B36" s="2">
        <v>57</v>
      </c>
      <c r="C36" s="2" t="s">
        <v>20</v>
      </c>
      <c r="D36" s="2">
        <v>2000</v>
      </c>
      <c r="E36" s="2">
        <v>600</v>
      </c>
      <c r="F36" s="3">
        <f>Table1[[#This Row],[Defective Units]]/Table1[[#This Row],[Total Unit]]</f>
        <v>2.8500000000000001E-2</v>
      </c>
      <c r="G36" s="2" t="str">
        <f>_xlfn.SWITCH(TRUE(),ROUND(Table1[[#This Row],[Defect Rate]],2)&gt;=4%,"High Risk",ROUND(Table1[[#This Row],[Defect Rate]],2)&gt;=3%,"Medium Risk","Low Risk")</f>
        <v>Medium Risk</v>
      </c>
      <c r="H36" s="2" t="str">
        <f>_xlfn.SWITCH(TRUE(),Table1[[#This Row],[Shipping Cost ($)]]&gt;=700,"Expensive",Table1[[#This Row],[Shipping Cost ($)]]&gt;=500,"Economical","Low Cost")</f>
        <v>Economical</v>
      </c>
      <c r="I36" s="1" t="s">
        <v>24</v>
      </c>
    </row>
    <row r="37" spans="1:9" x14ac:dyDescent="0.3">
      <c r="A37" s="1" t="s">
        <v>60</v>
      </c>
      <c r="B37" s="2">
        <v>58</v>
      </c>
      <c r="C37" s="2" t="s">
        <v>18</v>
      </c>
      <c r="D37" s="2">
        <v>2000</v>
      </c>
      <c r="E37" s="2">
        <v>115</v>
      </c>
      <c r="F37" s="3">
        <f>Table1[[#This Row],[Defective Units]]/Table1[[#This Row],[Total Unit]]</f>
        <v>2.9000000000000001E-2</v>
      </c>
      <c r="G37" s="2" t="str">
        <f>_xlfn.SWITCH(TRUE(),ROUND(Table1[[#This Row],[Defect Rate]],2)&gt;=4%,"High Risk",ROUND(Table1[[#This Row],[Defect Rate]],2)&gt;=3%,"Medium Risk","Low Risk")</f>
        <v>Medium Risk</v>
      </c>
      <c r="H37" s="2" t="str">
        <f>_xlfn.SWITCH(TRUE(),Table1[[#This Row],[Shipping Cost ($)]]&gt;=700,"Expensive",Table1[[#This Row],[Shipping Cost ($)]]&gt;=500,"Economical","Low Cost")</f>
        <v>Low Cost</v>
      </c>
      <c r="I37" s="1" t="s">
        <v>25</v>
      </c>
    </row>
    <row r="38" spans="1:9" x14ac:dyDescent="0.3">
      <c r="A38" s="1" t="s">
        <v>61</v>
      </c>
      <c r="B38" s="2">
        <v>59</v>
      </c>
      <c r="C38" s="2" t="s">
        <v>19</v>
      </c>
      <c r="D38" s="2">
        <v>2000</v>
      </c>
      <c r="E38" s="2">
        <v>920</v>
      </c>
      <c r="F38" s="3">
        <f>Table1[[#This Row],[Defective Units]]/Table1[[#This Row],[Total Unit]]</f>
        <v>2.9499999999999998E-2</v>
      </c>
      <c r="G38" s="2" t="str">
        <f>_xlfn.SWITCH(TRUE(),ROUND(Table1[[#This Row],[Defect Rate]],2)&gt;=4%,"High Risk",ROUND(Table1[[#This Row],[Defect Rate]],2)&gt;=3%,"Medium Risk","Low Risk")</f>
        <v>Medium Risk</v>
      </c>
      <c r="H38" s="2" t="str">
        <f>_xlfn.SWITCH(TRUE(),Table1[[#This Row],[Shipping Cost ($)]]&gt;=700,"Expensive",Table1[[#This Row],[Shipping Cost ($)]]&gt;=500,"Economical","Low Cost")</f>
        <v>Expensive</v>
      </c>
      <c r="I38" s="1" t="s">
        <v>24</v>
      </c>
    </row>
    <row r="39" spans="1:9" x14ac:dyDescent="0.3">
      <c r="A39" s="1" t="s">
        <v>62</v>
      </c>
      <c r="B39" s="2">
        <v>60</v>
      </c>
      <c r="C39" s="2" t="s">
        <v>21</v>
      </c>
      <c r="D39" s="2">
        <v>2000</v>
      </c>
      <c r="E39" s="2">
        <v>190</v>
      </c>
      <c r="F39" s="3">
        <f>Table1[[#This Row],[Defective Units]]/Table1[[#This Row],[Total Unit]]</f>
        <v>0.03</v>
      </c>
      <c r="G39" s="2" t="str">
        <f>_xlfn.SWITCH(TRUE(),ROUND(Table1[[#This Row],[Defect Rate]],2)&gt;=4%,"High Risk",ROUND(Table1[[#This Row],[Defect Rate]],2)&gt;=3%,"Medium Risk","Low Risk")</f>
        <v>Medium Risk</v>
      </c>
      <c r="H39" s="2" t="str">
        <f>_xlfn.SWITCH(TRUE(),Table1[[#This Row],[Shipping Cost ($)]]&gt;=700,"Expensive",Table1[[#This Row],[Shipping Cost ($)]]&gt;=500,"Economical","Low Cost")</f>
        <v>Low Cost</v>
      </c>
      <c r="I39" s="1" t="s">
        <v>25</v>
      </c>
    </row>
    <row r="40" spans="1:9" x14ac:dyDescent="0.3">
      <c r="A40" s="1" t="s">
        <v>63</v>
      </c>
      <c r="B40" s="2">
        <v>61</v>
      </c>
      <c r="C40" s="1" t="s">
        <v>13</v>
      </c>
      <c r="D40" s="2">
        <v>2000</v>
      </c>
      <c r="E40" s="2">
        <v>410</v>
      </c>
      <c r="F40" s="3">
        <f>Table1[[#This Row],[Defective Units]]/Table1[[#This Row],[Total Unit]]</f>
        <v>3.0499999999999999E-2</v>
      </c>
      <c r="G40" s="2" t="str">
        <f>_xlfn.SWITCH(TRUE(),ROUND(Table1[[#This Row],[Defect Rate]],2)&gt;=4%,"High Risk",ROUND(Table1[[#This Row],[Defect Rate]],2)&gt;=3%,"Medium Risk","Low Risk")</f>
        <v>Medium Risk</v>
      </c>
      <c r="H40" s="2" t="str">
        <f>_xlfn.SWITCH(TRUE(),Table1[[#This Row],[Shipping Cost ($)]]&gt;=700,"Expensive",Table1[[#This Row],[Shipping Cost ($)]]&gt;=500,"Economical","Low Cost")</f>
        <v>Low Cost</v>
      </c>
      <c r="I40" s="1" t="s">
        <v>24</v>
      </c>
    </row>
    <row r="41" spans="1:9" x14ac:dyDescent="0.3">
      <c r="A41" s="1" t="s">
        <v>64</v>
      </c>
      <c r="B41" s="2">
        <v>62</v>
      </c>
      <c r="C41" s="1" t="s">
        <v>14</v>
      </c>
      <c r="D41" s="2">
        <v>2000</v>
      </c>
      <c r="E41" s="2">
        <v>70</v>
      </c>
      <c r="F41" s="3">
        <f>Table1[[#This Row],[Defective Units]]/Table1[[#This Row],[Total Unit]]</f>
        <v>3.1E-2</v>
      </c>
      <c r="G41" s="2" t="str">
        <f>_xlfn.SWITCH(TRUE(),ROUND(Table1[[#This Row],[Defect Rate]],2)&gt;=4%,"High Risk",ROUND(Table1[[#This Row],[Defect Rate]],2)&gt;=3%,"Medium Risk","Low Risk")</f>
        <v>Medium Risk</v>
      </c>
      <c r="H41" s="2" t="str">
        <f>_xlfn.SWITCH(TRUE(),Table1[[#This Row],[Shipping Cost ($)]]&gt;=700,"Expensive",Table1[[#This Row],[Shipping Cost ($)]]&gt;=500,"Economical","Low Cost")</f>
        <v>Low Cost</v>
      </c>
      <c r="I41" s="1" t="s">
        <v>25</v>
      </c>
    </row>
    <row r="42" spans="1:9" x14ac:dyDescent="0.3">
      <c r="A42" s="1" t="s">
        <v>65</v>
      </c>
      <c r="B42" s="2">
        <v>63</v>
      </c>
      <c r="C42" s="1" t="s">
        <v>15</v>
      </c>
      <c r="D42" s="2">
        <v>2000</v>
      </c>
      <c r="E42" s="2">
        <v>880</v>
      </c>
      <c r="F42" s="3">
        <f>Table1[[#This Row],[Defective Units]]/Table1[[#This Row],[Total Unit]]</f>
        <v>3.15E-2</v>
      </c>
      <c r="G42" s="2" t="str">
        <f>_xlfn.SWITCH(TRUE(),ROUND(Table1[[#This Row],[Defect Rate]],2)&gt;=4%,"High Risk",ROUND(Table1[[#This Row],[Defect Rate]],2)&gt;=3%,"Medium Risk","Low Risk")</f>
        <v>Medium Risk</v>
      </c>
      <c r="H42" s="2" t="str">
        <f>_xlfn.SWITCH(TRUE(),Table1[[#This Row],[Shipping Cost ($)]]&gt;=700,"Expensive",Table1[[#This Row],[Shipping Cost ($)]]&gt;=500,"Economical","Low Cost")</f>
        <v>Expensive</v>
      </c>
      <c r="I42" s="1" t="s">
        <v>24</v>
      </c>
    </row>
    <row r="43" spans="1:9" x14ac:dyDescent="0.3">
      <c r="A43" s="1" t="s">
        <v>66</v>
      </c>
      <c r="B43" s="2">
        <v>64</v>
      </c>
      <c r="C43" s="1" t="s">
        <v>16</v>
      </c>
      <c r="D43" s="2">
        <v>2000</v>
      </c>
      <c r="E43" s="2">
        <v>105</v>
      </c>
      <c r="F43" s="3">
        <f>Table1[[#This Row],[Defective Units]]/Table1[[#This Row],[Total Unit]]</f>
        <v>3.2000000000000001E-2</v>
      </c>
      <c r="G43" s="2" t="str">
        <f>_xlfn.SWITCH(TRUE(),ROUND(Table1[[#This Row],[Defect Rate]],2)&gt;=4%,"High Risk",ROUND(Table1[[#This Row],[Defect Rate]],2)&gt;=3%,"Medium Risk","Low Risk")</f>
        <v>Medium Risk</v>
      </c>
      <c r="H43" s="2" t="str">
        <f>_xlfn.SWITCH(TRUE(),Table1[[#This Row],[Shipping Cost ($)]]&gt;=700,"Expensive",Table1[[#This Row],[Shipping Cost ($)]]&gt;=500,"Economical","Low Cost")</f>
        <v>Low Cost</v>
      </c>
      <c r="I43" s="1" t="s">
        <v>25</v>
      </c>
    </row>
    <row r="44" spans="1:9" x14ac:dyDescent="0.3">
      <c r="A44" s="1" t="s">
        <v>67</v>
      </c>
      <c r="B44" s="2">
        <v>65</v>
      </c>
      <c r="C44" s="1" t="s">
        <v>17</v>
      </c>
      <c r="D44" s="2">
        <v>2000</v>
      </c>
      <c r="E44" s="2">
        <v>550</v>
      </c>
      <c r="F44" s="3">
        <f>Table1[[#This Row],[Defective Units]]/Table1[[#This Row],[Total Unit]]</f>
        <v>3.2500000000000001E-2</v>
      </c>
      <c r="G44" s="2" t="str">
        <f>_xlfn.SWITCH(TRUE(),ROUND(Table1[[#This Row],[Defect Rate]],2)&gt;=4%,"High Risk",ROUND(Table1[[#This Row],[Defect Rate]],2)&gt;=3%,"Medium Risk","Low Risk")</f>
        <v>Medium Risk</v>
      </c>
      <c r="H44" s="2" t="str">
        <f>_xlfn.SWITCH(TRUE(),Table1[[#This Row],[Shipping Cost ($)]]&gt;=700,"Expensive",Table1[[#This Row],[Shipping Cost ($)]]&gt;=500,"Economical","Low Cost")</f>
        <v>Economical</v>
      </c>
      <c r="I44" s="1" t="s">
        <v>24</v>
      </c>
    </row>
    <row r="45" spans="1:9" x14ac:dyDescent="0.3">
      <c r="A45" s="1" t="s">
        <v>68</v>
      </c>
      <c r="B45" s="2">
        <v>66</v>
      </c>
      <c r="C45" s="2" t="s">
        <v>20</v>
      </c>
      <c r="D45" s="2">
        <v>2000</v>
      </c>
      <c r="E45" s="2">
        <v>145</v>
      </c>
      <c r="F45" s="3">
        <f>Table1[[#This Row],[Defective Units]]/Table1[[#This Row],[Total Unit]]</f>
        <v>3.3000000000000002E-2</v>
      </c>
      <c r="G45" s="2" t="str">
        <f>_xlfn.SWITCH(TRUE(),ROUND(Table1[[#This Row],[Defect Rate]],2)&gt;=4%,"High Risk",ROUND(Table1[[#This Row],[Defect Rate]],2)&gt;=3%,"Medium Risk","Low Risk")</f>
        <v>Medium Risk</v>
      </c>
      <c r="H45" s="2" t="str">
        <f>_xlfn.SWITCH(TRUE(),Table1[[#This Row],[Shipping Cost ($)]]&gt;=700,"Expensive",Table1[[#This Row],[Shipping Cost ($)]]&gt;=500,"Economical","Low Cost")</f>
        <v>Low Cost</v>
      </c>
      <c r="I45" s="1" t="s">
        <v>25</v>
      </c>
    </row>
    <row r="46" spans="1:9" x14ac:dyDescent="0.3">
      <c r="A46" s="1" t="s">
        <v>69</v>
      </c>
      <c r="B46" s="2">
        <v>67</v>
      </c>
      <c r="C46" s="2" t="s">
        <v>18</v>
      </c>
      <c r="D46" s="2">
        <v>2000</v>
      </c>
      <c r="E46" s="2">
        <v>300</v>
      </c>
      <c r="F46" s="3">
        <f>Table1[[#This Row],[Defective Units]]/Table1[[#This Row],[Total Unit]]</f>
        <v>3.3500000000000002E-2</v>
      </c>
      <c r="G46" s="2" t="str">
        <f>_xlfn.SWITCH(TRUE(),ROUND(Table1[[#This Row],[Defect Rate]],2)&gt;=4%,"High Risk",ROUND(Table1[[#This Row],[Defect Rate]],2)&gt;=3%,"Medium Risk","Low Risk")</f>
        <v>Medium Risk</v>
      </c>
      <c r="H46" s="2" t="str">
        <f>_xlfn.SWITCH(TRUE(),Table1[[#This Row],[Shipping Cost ($)]]&gt;=700,"Expensive",Table1[[#This Row],[Shipping Cost ($)]]&gt;=500,"Economical","Low Cost")</f>
        <v>Low Cost</v>
      </c>
      <c r="I46" s="1" t="s">
        <v>24</v>
      </c>
    </row>
    <row r="47" spans="1:9" x14ac:dyDescent="0.3">
      <c r="A47" s="1" t="s">
        <v>70</v>
      </c>
      <c r="B47" s="2">
        <v>68</v>
      </c>
      <c r="C47" s="2" t="s">
        <v>19</v>
      </c>
      <c r="D47" s="2">
        <v>2000</v>
      </c>
      <c r="E47" s="2">
        <v>65</v>
      </c>
      <c r="F47" s="3">
        <f>Table1[[#This Row],[Defective Units]]/Table1[[#This Row],[Total Unit]]</f>
        <v>3.4000000000000002E-2</v>
      </c>
      <c r="G47" s="2" t="str">
        <f>_xlfn.SWITCH(TRUE(),ROUND(Table1[[#This Row],[Defect Rate]],2)&gt;=4%,"High Risk",ROUND(Table1[[#This Row],[Defect Rate]],2)&gt;=3%,"Medium Risk","Low Risk")</f>
        <v>Medium Risk</v>
      </c>
      <c r="H47" s="2" t="str">
        <f>_xlfn.SWITCH(TRUE(),Table1[[#This Row],[Shipping Cost ($)]]&gt;=700,"Expensive",Table1[[#This Row],[Shipping Cost ($)]]&gt;=500,"Economical","Low Cost")</f>
        <v>Low Cost</v>
      </c>
      <c r="I47" s="1" t="s">
        <v>25</v>
      </c>
    </row>
    <row r="48" spans="1:9" x14ac:dyDescent="0.3">
      <c r="A48" s="1" t="s">
        <v>71</v>
      </c>
      <c r="B48" s="2">
        <v>69</v>
      </c>
      <c r="C48" s="2" t="s">
        <v>21</v>
      </c>
      <c r="D48" s="2">
        <v>2000</v>
      </c>
      <c r="E48" s="2">
        <v>740</v>
      </c>
      <c r="F48" s="3">
        <f>Table1[[#This Row],[Defective Units]]/Table1[[#This Row],[Total Unit]]</f>
        <v>3.4500000000000003E-2</v>
      </c>
      <c r="G48" s="2" t="str">
        <f>_xlfn.SWITCH(TRUE(),ROUND(Table1[[#This Row],[Defect Rate]],2)&gt;=4%,"High Risk",ROUND(Table1[[#This Row],[Defect Rate]],2)&gt;=3%,"Medium Risk","Low Risk")</f>
        <v>Medium Risk</v>
      </c>
      <c r="H48" s="2" t="str">
        <f>_xlfn.SWITCH(TRUE(),Table1[[#This Row],[Shipping Cost ($)]]&gt;=700,"Expensive",Table1[[#This Row],[Shipping Cost ($)]]&gt;=500,"Economical","Low Cost")</f>
        <v>Expensive</v>
      </c>
      <c r="I48" s="1" t="s">
        <v>24</v>
      </c>
    </row>
    <row r="49" spans="1:9" x14ac:dyDescent="0.3">
      <c r="A49" s="1" t="s">
        <v>72</v>
      </c>
      <c r="B49" s="2">
        <v>80</v>
      </c>
      <c r="C49" s="1" t="s">
        <v>13</v>
      </c>
      <c r="D49" s="2">
        <v>2000</v>
      </c>
      <c r="E49" s="2">
        <v>210</v>
      </c>
      <c r="F49" s="3">
        <f>Table1[[#This Row],[Defective Units]]/Table1[[#This Row],[Total Unit]]</f>
        <v>0.04</v>
      </c>
      <c r="G49" s="2" t="str">
        <f>_xlfn.SWITCH(TRUE(),ROUND(Table1[[#This Row],[Defect Rate]],2)&gt;=4%,"High Risk",ROUND(Table1[[#This Row],[Defect Rate]],2)&gt;=3%,"Medium Risk","Low Risk")</f>
        <v>High Risk</v>
      </c>
      <c r="H49" s="2" t="str">
        <f>_xlfn.SWITCH(TRUE(),Table1[[#This Row],[Shipping Cost ($)]]&gt;=700,"Expensive",Table1[[#This Row],[Shipping Cost ($)]]&gt;=500,"Economical","Low Cost")</f>
        <v>Low Cost</v>
      </c>
      <c r="I49" s="1" t="s">
        <v>25</v>
      </c>
    </row>
    <row r="50" spans="1:9" x14ac:dyDescent="0.3">
      <c r="A50" s="1" t="s">
        <v>73</v>
      </c>
      <c r="B50" s="2">
        <v>20</v>
      </c>
      <c r="C50" s="1" t="s">
        <v>14</v>
      </c>
      <c r="D50" s="2">
        <v>2000</v>
      </c>
      <c r="E50" s="2">
        <v>430</v>
      </c>
      <c r="F50" s="3">
        <f>Table1[[#This Row],[Defective Units]]/Table1[[#This Row],[Total Unit]]</f>
        <v>0.01</v>
      </c>
      <c r="G50" s="2" t="str">
        <f>_xlfn.SWITCH(TRUE(),ROUND(Table1[[#This Row],[Defect Rate]],2)&gt;=4%,"High Risk",ROUND(Table1[[#This Row],[Defect Rate]],2)&gt;=3%,"Medium Risk","Low Risk")</f>
        <v>Low Risk</v>
      </c>
      <c r="H50" s="2" t="str">
        <f>_xlfn.SWITCH(TRUE(),Table1[[#This Row],[Shipping Cost ($)]]&gt;=700,"Expensive",Table1[[#This Row],[Shipping Cost ($)]]&gt;=500,"Economical","Low Cost")</f>
        <v>Low Cost</v>
      </c>
      <c r="I50" s="1" t="s">
        <v>24</v>
      </c>
    </row>
    <row r="51" spans="1:9" x14ac:dyDescent="0.3">
      <c r="A51" s="1" t="s">
        <v>74</v>
      </c>
      <c r="B51" s="2">
        <v>72</v>
      </c>
      <c r="C51" s="1" t="s">
        <v>15</v>
      </c>
      <c r="D51" s="2">
        <v>2000</v>
      </c>
      <c r="E51" s="2">
        <v>125</v>
      </c>
      <c r="F51" s="3">
        <f>Table1[[#This Row],[Defective Units]]/Table1[[#This Row],[Total Unit]]</f>
        <v>3.5999999999999997E-2</v>
      </c>
      <c r="G51" s="2" t="str">
        <f>_xlfn.SWITCH(TRUE(),ROUND(Table1[[#This Row],[Defect Rate]],2)&gt;=4%,"High Risk",ROUND(Table1[[#This Row],[Defect Rate]],2)&gt;=3%,"Medium Risk","Low Risk")</f>
        <v>High Risk</v>
      </c>
      <c r="H51" s="2" t="str">
        <f>_xlfn.SWITCH(TRUE(),Table1[[#This Row],[Shipping Cost ($)]]&gt;=700,"Expensive",Table1[[#This Row],[Shipping Cost ($)]]&gt;=500,"Economical","Low Cost")</f>
        <v>Low Cost</v>
      </c>
      <c r="I51" s="1" t="s">
        <v>25</v>
      </c>
    </row>
    <row r="52" spans="1:9" x14ac:dyDescent="0.3">
      <c r="A52" s="1" t="s">
        <v>75</v>
      </c>
      <c r="B52" s="2">
        <v>60</v>
      </c>
      <c r="C52" s="1" t="s">
        <v>16</v>
      </c>
      <c r="D52" s="2">
        <v>2000</v>
      </c>
      <c r="E52" s="2">
        <v>680</v>
      </c>
      <c r="F52" s="3">
        <f>Table1[[#This Row],[Defective Units]]/Table1[[#This Row],[Total Unit]]</f>
        <v>0.03</v>
      </c>
      <c r="G52" s="2" t="str">
        <f>_xlfn.SWITCH(TRUE(),ROUND(Table1[[#This Row],[Defect Rate]],2)&gt;=4%,"High Risk",ROUND(Table1[[#This Row],[Defect Rate]],2)&gt;=3%,"Medium Risk","Low Risk")</f>
        <v>Medium Risk</v>
      </c>
      <c r="H52" s="2" t="str">
        <f>_xlfn.SWITCH(TRUE(),Table1[[#This Row],[Shipping Cost ($)]]&gt;=700,"Expensive",Table1[[#This Row],[Shipping Cost ($)]]&gt;=500,"Economical","Low Cost")</f>
        <v>Economical</v>
      </c>
      <c r="I52" s="1" t="s">
        <v>24</v>
      </c>
    </row>
    <row r="53" spans="1:9" x14ac:dyDescent="0.3">
      <c r="A53" s="1" t="s">
        <v>76</v>
      </c>
      <c r="B53" s="2">
        <v>74</v>
      </c>
      <c r="C53" s="1" t="s">
        <v>17</v>
      </c>
      <c r="D53" s="2">
        <v>2000</v>
      </c>
      <c r="E53" s="2">
        <v>250</v>
      </c>
      <c r="F53" s="3">
        <f>Table1[[#This Row],[Defective Units]]/Table1[[#This Row],[Total Unit]]</f>
        <v>3.6999999999999998E-2</v>
      </c>
      <c r="G53" s="2" t="str">
        <f>_xlfn.SWITCH(TRUE(),ROUND(Table1[[#This Row],[Defect Rate]],2)&gt;=4%,"High Risk",ROUND(Table1[[#This Row],[Defect Rate]],2)&gt;=3%,"Medium Risk","Low Risk")</f>
        <v>High Risk</v>
      </c>
      <c r="H53" s="2" t="str">
        <f>_xlfn.SWITCH(TRUE(),Table1[[#This Row],[Shipping Cost ($)]]&gt;=700,"Expensive",Table1[[#This Row],[Shipping Cost ($)]]&gt;=500,"Economical","Low Cost")</f>
        <v>Low Cost</v>
      </c>
      <c r="I53" s="1" t="s">
        <v>25</v>
      </c>
    </row>
    <row r="54" spans="1:9" x14ac:dyDescent="0.3">
      <c r="A54" s="1" t="s">
        <v>77</v>
      </c>
      <c r="B54" s="2">
        <v>90</v>
      </c>
      <c r="C54" s="2" t="s">
        <v>20</v>
      </c>
      <c r="D54" s="2">
        <v>2000</v>
      </c>
      <c r="E54" s="2">
        <v>890</v>
      </c>
      <c r="F54" s="3">
        <f>Table1[[#This Row],[Defective Units]]/Table1[[#This Row],[Total Unit]]</f>
        <v>4.4999999999999998E-2</v>
      </c>
      <c r="G54" s="2" t="str">
        <f>_xlfn.SWITCH(TRUE(),ROUND(Table1[[#This Row],[Defect Rate]],2)&gt;=4%,"High Risk",ROUND(Table1[[#This Row],[Defect Rate]],2)&gt;=3%,"Medium Risk","Low Risk")</f>
        <v>High Risk</v>
      </c>
      <c r="H54" s="2" t="str">
        <f>_xlfn.SWITCH(TRUE(),Table1[[#This Row],[Shipping Cost ($)]]&gt;=700,"Expensive",Table1[[#This Row],[Shipping Cost ($)]]&gt;=500,"Economical","Low Cost")</f>
        <v>Expensive</v>
      </c>
      <c r="I54" s="1" t="s">
        <v>24</v>
      </c>
    </row>
    <row r="55" spans="1:9" x14ac:dyDescent="0.3">
      <c r="A55" s="1" t="s">
        <v>78</v>
      </c>
      <c r="B55" s="2">
        <v>76</v>
      </c>
      <c r="C55" s="2" t="s">
        <v>18</v>
      </c>
      <c r="D55" s="2">
        <v>2000</v>
      </c>
      <c r="E55" s="2">
        <v>340</v>
      </c>
      <c r="F55" s="3">
        <f>Table1[[#This Row],[Defective Units]]/Table1[[#This Row],[Total Unit]]</f>
        <v>3.7999999999999999E-2</v>
      </c>
      <c r="G55" s="2" t="str">
        <f>_xlfn.SWITCH(TRUE(),ROUND(Table1[[#This Row],[Defect Rate]],2)&gt;=4%,"High Risk",ROUND(Table1[[#This Row],[Defect Rate]],2)&gt;=3%,"Medium Risk","Low Risk")</f>
        <v>High Risk</v>
      </c>
      <c r="H55" s="2" t="str">
        <f>_xlfn.SWITCH(TRUE(),Table1[[#This Row],[Shipping Cost ($)]]&gt;=700,"Expensive",Table1[[#This Row],[Shipping Cost ($)]]&gt;=500,"Economical","Low Cost")</f>
        <v>Low Cost</v>
      </c>
      <c r="I55" s="1" t="s">
        <v>25</v>
      </c>
    </row>
    <row r="56" spans="1:9" x14ac:dyDescent="0.3">
      <c r="A56" s="1" t="s">
        <v>79</v>
      </c>
      <c r="B56" s="2">
        <v>77</v>
      </c>
      <c r="C56" s="2" t="s">
        <v>19</v>
      </c>
      <c r="D56" s="2">
        <v>2000</v>
      </c>
      <c r="E56" s="2">
        <v>275</v>
      </c>
      <c r="F56" s="3">
        <f>Table1[[#This Row],[Defective Units]]/Table1[[#This Row],[Total Unit]]</f>
        <v>3.85E-2</v>
      </c>
      <c r="G56" s="2" t="str">
        <f>_xlfn.SWITCH(TRUE(),ROUND(Table1[[#This Row],[Defect Rate]],2)&gt;=4%,"High Risk",ROUND(Table1[[#This Row],[Defect Rate]],2)&gt;=3%,"Medium Risk","Low Risk")</f>
        <v>High Risk</v>
      </c>
      <c r="H56" s="2" t="str">
        <f>_xlfn.SWITCH(TRUE(),Table1[[#This Row],[Shipping Cost ($)]]&gt;=700,"Expensive",Table1[[#This Row],[Shipping Cost ($)]]&gt;=500,"Economical","Low Cost")</f>
        <v>Low Cost</v>
      </c>
      <c r="I56" s="1" t="s">
        <v>24</v>
      </c>
    </row>
    <row r="57" spans="1:9" x14ac:dyDescent="0.3">
      <c r="A57" s="1" t="s">
        <v>80</v>
      </c>
      <c r="B57" s="2">
        <v>78</v>
      </c>
      <c r="C57" s="2" t="s">
        <v>21</v>
      </c>
      <c r="D57" s="2">
        <v>2000</v>
      </c>
      <c r="E57" s="2">
        <v>600</v>
      </c>
      <c r="F57" s="3">
        <f>Table1[[#This Row],[Defective Units]]/Table1[[#This Row],[Total Unit]]</f>
        <v>3.9E-2</v>
      </c>
      <c r="G57" s="2" t="str">
        <f>_xlfn.SWITCH(TRUE(),ROUND(Table1[[#This Row],[Defect Rate]],2)&gt;=4%,"High Risk",ROUND(Table1[[#This Row],[Defect Rate]],2)&gt;=3%,"Medium Risk","Low Risk")</f>
        <v>High Risk</v>
      </c>
      <c r="H57" s="2" t="str">
        <f>_xlfn.SWITCH(TRUE(),Table1[[#This Row],[Shipping Cost ($)]]&gt;=700,"Expensive",Table1[[#This Row],[Shipping Cost ($)]]&gt;=500,"Economical","Low Cost")</f>
        <v>Economical</v>
      </c>
      <c r="I57" s="1" t="s">
        <v>25</v>
      </c>
    </row>
    <row r="58" spans="1:9" x14ac:dyDescent="0.3">
      <c r="A58" s="1" t="s">
        <v>81</v>
      </c>
      <c r="B58" s="2">
        <v>79</v>
      </c>
      <c r="C58" s="1" t="s">
        <v>13</v>
      </c>
      <c r="D58" s="2">
        <v>2000</v>
      </c>
      <c r="E58" s="2">
        <v>115</v>
      </c>
      <c r="F58" s="3">
        <f>Table1[[#This Row],[Defective Units]]/Table1[[#This Row],[Total Unit]]</f>
        <v>3.95E-2</v>
      </c>
      <c r="G58" s="2" t="str">
        <f>_xlfn.SWITCH(TRUE(),ROUND(Table1[[#This Row],[Defect Rate]],2)&gt;=4%,"High Risk",ROUND(Table1[[#This Row],[Defect Rate]],2)&gt;=3%,"Medium Risk","Low Risk")</f>
        <v>High Risk</v>
      </c>
      <c r="H58" s="2" t="str">
        <f>_xlfn.SWITCH(TRUE(),Table1[[#This Row],[Shipping Cost ($)]]&gt;=700,"Expensive",Table1[[#This Row],[Shipping Cost ($)]]&gt;=500,"Economical","Low Cost")</f>
        <v>Low Cost</v>
      </c>
      <c r="I58" s="1" t="s">
        <v>24</v>
      </c>
    </row>
    <row r="59" spans="1:9" x14ac:dyDescent="0.3">
      <c r="A59" s="1" t="s">
        <v>82</v>
      </c>
      <c r="B59" s="2">
        <v>80</v>
      </c>
      <c r="C59" s="1" t="s">
        <v>14</v>
      </c>
      <c r="D59" s="2">
        <v>2000</v>
      </c>
      <c r="E59" s="2">
        <v>920</v>
      </c>
      <c r="F59" s="3">
        <f>Table1[[#This Row],[Defective Units]]/Table1[[#This Row],[Total Unit]]</f>
        <v>0.04</v>
      </c>
      <c r="G59" s="2" t="str">
        <f>_xlfn.SWITCH(TRUE(),ROUND(Table1[[#This Row],[Defect Rate]],2)&gt;=4%,"High Risk",ROUND(Table1[[#This Row],[Defect Rate]],2)&gt;=3%,"Medium Risk","Low Risk")</f>
        <v>High Risk</v>
      </c>
      <c r="H59" s="2" t="str">
        <f>_xlfn.SWITCH(TRUE(),Table1[[#This Row],[Shipping Cost ($)]]&gt;=700,"Expensive",Table1[[#This Row],[Shipping Cost ($)]]&gt;=500,"Economical","Low Cost")</f>
        <v>Expensive</v>
      </c>
      <c r="I59" s="1" t="s">
        <v>25</v>
      </c>
    </row>
    <row r="60" spans="1:9" x14ac:dyDescent="0.3">
      <c r="A60" s="1" t="s">
        <v>83</v>
      </c>
      <c r="B60" s="2">
        <v>81</v>
      </c>
      <c r="C60" s="1" t="s">
        <v>15</v>
      </c>
      <c r="D60" s="2">
        <v>2000</v>
      </c>
      <c r="E60" s="2">
        <v>190</v>
      </c>
      <c r="F60" s="3">
        <f>Table1[[#This Row],[Defective Units]]/Table1[[#This Row],[Total Unit]]</f>
        <v>4.0500000000000001E-2</v>
      </c>
      <c r="G60" s="2" t="str">
        <f>_xlfn.SWITCH(TRUE(),ROUND(Table1[[#This Row],[Defect Rate]],2)&gt;=4%,"High Risk",ROUND(Table1[[#This Row],[Defect Rate]],2)&gt;=3%,"Medium Risk","Low Risk")</f>
        <v>High Risk</v>
      </c>
      <c r="H60" s="2" t="str">
        <f>_xlfn.SWITCH(TRUE(),Table1[[#This Row],[Shipping Cost ($)]]&gt;=700,"Expensive",Table1[[#This Row],[Shipping Cost ($)]]&gt;=500,"Economical","Low Cost")</f>
        <v>Low Cost</v>
      </c>
      <c r="I60" s="1" t="s">
        <v>24</v>
      </c>
    </row>
    <row r="61" spans="1:9" x14ac:dyDescent="0.3">
      <c r="A61" s="1" t="s">
        <v>84</v>
      </c>
      <c r="B61" s="2">
        <v>82</v>
      </c>
      <c r="C61" s="1" t="s">
        <v>16</v>
      </c>
      <c r="D61" s="2">
        <v>2000</v>
      </c>
      <c r="E61" s="2">
        <v>290</v>
      </c>
      <c r="F61" s="3">
        <f>Table1[[#This Row],[Defective Units]]/Table1[[#This Row],[Total Unit]]</f>
        <v>4.1000000000000002E-2</v>
      </c>
      <c r="G61" s="2" t="str">
        <f>_xlfn.SWITCH(TRUE(),ROUND(Table1[[#This Row],[Defect Rate]],2)&gt;=4%,"High Risk",ROUND(Table1[[#This Row],[Defect Rate]],2)&gt;=3%,"Medium Risk","Low Risk")</f>
        <v>High Risk</v>
      </c>
      <c r="H61" s="2" t="str">
        <f>_xlfn.SWITCH(TRUE(),Table1[[#This Row],[Shipping Cost ($)]]&gt;=700,"Expensive",Table1[[#This Row],[Shipping Cost ($)]]&gt;=500,"Economical","Low Cost")</f>
        <v>Low Cost</v>
      </c>
      <c r="I61" s="1" t="s">
        <v>25</v>
      </c>
    </row>
    <row r="62" spans="1:9" x14ac:dyDescent="0.3">
      <c r="A62" s="1" t="s">
        <v>85</v>
      </c>
      <c r="B62" s="2">
        <v>83</v>
      </c>
      <c r="C62" s="1" t="s">
        <v>17</v>
      </c>
      <c r="D62" s="2">
        <v>2000</v>
      </c>
      <c r="E62" s="2">
        <v>610</v>
      </c>
      <c r="F62" s="3">
        <f>Table1[[#This Row],[Defective Units]]/Table1[[#This Row],[Total Unit]]</f>
        <v>4.1500000000000002E-2</v>
      </c>
      <c r="G62" s="2" t="str">
        <f>_xlfn.SWITCH(TRUE(),ROUND(Table1[[#This Row],[Defect Rate]],2)&gt;=4%,"High Risk",ROUND(Table1[[#This Row],[Defect Rate]],2)&gt;=3%,"Medium Risk","Low Risk")</f>
        <v>High Risk</v>
      </c>
      <c r="H62" s="2" t="str">
        <f>_xlfn.SWITCH(TRUE(),Table1[[#This Row],[Shipping Cost ($)]]&gt;=700,"Expensive",Table1[[#This Row],[Shipping Cost ($)]]&gt;=500,"Economical","Low Cost")</f>
        <v>Economical</v>
      </c>
      <c r="I62" s="1" t="s">
        <v>24</v>
      </c>
    </row>
    <row r="63" spans="1:9" x14ac:dyDescent="0.3">
      <c r="A63" s="1" t="s">
        <v>86</v>
      </c>
      <c r="B63" s="2">
        <v>84</v>
      </c>
      <c r="C63" s="2" t="s">
        <v>20</v>
      </c>
      <c r="D63" s="2">
        <v>2000</v>
      </c>
      <c r="E63" s="2">
        <v>120</v>
      </c>
      <c r="F63" s="3">
        <f>Table1[[#This Row],[Defective Units]]/Table1[[#This Row],[Total Unit]]</f>
        <v>4.2000000000000003E-2</v>
      </c>
      <c r="G63" s="2" t="str">
        <f>_xlfn.SWITCH(TRUE(),ROUND(Table1[[#This Row],[Defect Rate]],2)&gt;=4%,"High Risk",ROUND(Table1[[#This Row],[Defect Rate]],2)&gt;=3%,"Medium Risk","Low Risk")</f>
        <v>High Risk</v>
      </c>
      <c r="H63" s="2" t="str">
        <f>_xlfn.SWITCH(TRUE(),Table1[[#This Row],[Shipping Cost ($)]]&gt;=700,"Expensive",Table1[[#This Row],[Shipping Cost ($)]]&gt;=500,"Economical","Low Cost")</f>
        <v>Low Cost</v>
      </c>
      <c r="I63" s="1" t="s">
        <v>25</v>
      </c>
    </row>
    <row r="64" spans="1:9" x14ac:dyDescent="0.3">
      <c r="A64" s="1" t="s">
        <v>87</v>
      </c>
      <c r="B64" s="2">
        <v>85</v>
      </c>
      <c r="C64" s="2" t="s">
        <v>18</v>
      </c>
      <c r="D64" s="2">
        <v>2000</v>
      </c>
      <c r="E64" s="2">
        <v>480</v>
      </c>
      <c r="F64" s="3">
        <f>Table1[[#This Row],[Defective Units]]/Table1[[#This Row],[Total Unit]]</f>
        <v>4.2500000000000003E-2</v>
      </c>
      <c r="G64" s="2" t="str">
        <f>_xlfn.SWITCH(TRUE(),ROUND(Table1[[#This Row],[Defect Rate]],2)&gt;=4%,"High Risk",ROUND(Table1[[#This Row],[Defect Rate]],2)&gt;=3%,"Medium Risk","Low Risk")</f>
        <v>High Risk</v>
      </c>
      <c r="H64" s="2" t="str">
        <f>_xlfn.SWITCH(TRUE(),Table1[[#This Row],[Shipping Cost ($)]]&gt;=700,"Expensive",Table1[[#This Row],[Shipping Cost ($)]]&gt;=500,"Economical","Low Cost")</f>
        <v>Low Cost</v>
      </c>
      <c r="I64" s="1" t="s">
        <v>24</v>
      </c>
    </row>
    <row r="65" spans="1:9" x14ac:dyDescent="0.3">
      <c r="A65" s="1" t="s">
        <v>88</v>
      </c>
      <c r="B65" s="2">
        <v>86</v>
      </c>
      <c r="C65" s="2" t="s">
        <v>19</v>
      </c>
      <c r="D65" s="2">
        <v>2000</v>
      </c>
      <c r="E65" s="2">
        <v>150</v>
      </c>
      <c r="F65" s="3">
        <f>Table1[[#This Row],[Defective Units]]/Table1[[#This Row],[Total Unit]]</f>
        <v>4.2999999999999997E-2</v>
      </c>
      <c r="G65" s="2" t="str">
        <f>_xlfn.SWITCH(TRUE(),ROUND(Table1[[#This Row],[Defect Rate]],2)&gt;=4%,"High Risk",ROUND(Table1[[#This Row],[Defect Rate]],2)&gt;=3%,"Medium Risk","Low Risk")</f>
        <v>High Risk</v>
      </c>
      <c r="H65" s="2" t="str">
        <f>_xlfn.SWITCH(TRUE(),Table1[[#This Row],[Shipping Cost ($)]]&gt;=700,"Expensive",Table1[[#This Row],[Shipping Cost ($)]]&gt;=500,"Economical","Low Cost")</f>
        <v>Low Cost</v>
      </c>
      <c r="I65" s="1" t="s">
        <v>25</v>
      </c>
    </row>
    <row r="66" spans="1:9" x14ac:dyDescent="0.3">
      <c r="A66" s="1" t="s">
        <v>89</v>
      </c>
      <c r="B66" s="2">
        <v>87</v>
      </c>
      <c r="C66" s="2" t="s">
        <v>21</v>
      </c>
      <c r="D66" s="2">
        <v>2000</v>
      </c>
      <c r="E66" s="2">
        <v>720</v>
      </c>
      <c r="F66" s="3">
        <f>Table1[[#This Row],[Defective Units]]/Table1[[#This Row],[Total Unit]]</f>
        <v>4.3499999999999997E-2</v>
      </c>
      <c r="G66" s="2" t="str">
        <f>_xlfn.SWITCH(TRUE(),ROUND(Table1[[#This Row],[Defect Rate]],2)&gt;=4%,"High Risk",ROUND(Table1[[#This Row],[Defect Rate]],2)&gt;=3%,"Medium Risk","Low Risk")</f>
        <v>High Risk</v>
      </c>
      <c r="H66" s="2" t="str">
        <f>_xlfn.SWITCH(TRUE(),Table1[[#This Row],[Shipping Cost ($)]]&gt;=700,"Expensive",Table1[[#This Row],[Shipping Cost ($)]]&gt;=500,"Economical","Low Cost")</f>
        <v>Expensive</v>
      </c>
      <c r="I66" s="1" t="s">
        <v>24</v>
      </c>
    </row>
    <row r="67" spans="1:9" x14ac:dyDescent="0.3">
      <c r="A67" s="1" t="s">
        <v>90</v>
      </c>
      <c r="B67" s="2">
        <v>88</v>
      </c>
      <c r="C67" s="1" t="s">
        <v>13</v>
      </c>
      <c r="D67" s="2">
        <v>2000</v>
      </c>
      <c r="E67" s="2">
        <v>330</v>
      </c>
      <c r="F67" s="3">
        <f>Table1[[#This Row],[Defective Units]]/Table1[[#This Row],[Total Unit]]</f>
        <v>4.3999999999999997E-2</v>
      </c>
      <c r="G67" s="2" t="str">
        <f>_xlfn.SWITCH(TRUE(),ROUND(Table1[[#This Row],[Defect Rate]],2)&gt;=4%,"High Risk",ROUND(Table1[[#This Row],[Defect Rate]],2)&gt;=3%,"Medium Risk","Low Risk")</f>
        <v>High Risk</v>
      </c>
      <c r="H67" s="2" t="str">
        <f>_xlfn.SWITCH(TRUE(),Table1[[#This Row],[Shipping Cost ($)]]&gt;=700,"Expensive",Table1[[#This Row],[Shipping Cost ($)]]&gt;=500,"Economical","Low Cost")</f>
        <v>Low Cost</v>
      </c>
      <c r="I67" s="1" t="s">
        <v>25</v>
      </c>
    </row>
    <row r="68" spans="1:9" x14ac:dyDescent="0.3">
      <c r="A68" s="1" t="s">
        <v>91</v>
      </c>
      <c r="B68" s="2">
        <v>89</v>
      </c>
      <c r="C68" s="1" t="s">
        <v>14</v>
      </c>
      <c r="D68" s="2">
        <v>2000</v>
      </c>
      <c r="E68" s="2">
        <v>90</v>
      </c>
      <c r="F68" s="3">
        <f>Table1[[#This Row],[Defective Units]]/Table1[[#This Row],[Total Unit]]</f>
        <v>4.4499999999999998E-2</v>
      </c>
      <c r="G68" s="2" t="str">
        <f>_xlfn.SWITCH(TRUE(),ROUND(Table1[[#This Row],[Defect Rate]],2)&gt;=4%,"High Risk",ROUND(Table1[[#This Row],[Defect Rate]],2)&gt;=3%,"Medium Risk","Low Risk")</f>
        <v>High Risk</v>
      </c>
      <c r="H68" s="2" t="str">
        <f>_xlfn.SWITCH(TRUE(),Table1[[#This Row],[Shipping Cost ($)]]&gt;=700,"Expensive",Table1[[#This Row],[Shipping Cost ($)]]&gt;=500,"Economical","Low Cost")</f>
        <v>Low Cost</v>
      </c>
      <c r="I68" s="1" t="s">
        <v>24</v>
      </c>
    </row>
    <row r="69" spans="1:9" x14ac:dyDescent="0.3">
      <c r="A69" s="1" t="s">
        <v>92</v>
      </c>
      <c r="B69" s="2">
        <v>90</v>
      </c>
      <c r="C69" s="1" t="s">
        <v>15</v>
      </c>
      <c r="D69" s="2">
        <v>2000</v>
      </c>
      <c r="E69" s="2">
        <v>500</v>
      </c>
      <c r="F69" s="3">
        <f>Table1[[#This Row],[Defective Units]]/Table1[[#This Row],[Total Unit]]</f>
        <v>4.4999999999999998E-2</v>
      </c>
      <c r="G69" s="2" t="str">
        <f>_xlfn.SWITCH(TRUE(),ROUND(Table1[[#This Row],[Defect Rate]],2)&gt;=4%,"High Risk",ROUND(Table1[[#This Row],[Defect Rate]],2)&gt;=3%,"Medium Risk","Low Risk")</f>
        <v>High Risk</v>
      </c>
      <c r="H69" s="2" t="str">
        <f>_xlfn.SWITCH(TRUE(),Table1[[#This Row],[Shipping Cost ($)]]&gt;=700,"Expensive",Table1[[#This Row],[Shipping Cost ($)]]&gt;=500,"Economical","Low Cost")</f>
        <v>Economical</v>
      </c>
      <c r="I69" s="1" t="s">
        <v>25</v>
      </c>
    </row>
    <row r="70" spans="1:9" x14ac:dyDescent="0.3">
      <c r="A70" s="1" t="s">
        <v>93</v>
      </c>
      <c r="B70" s="2">
        <v>91</v>
      </c>
      <c r="C70" s="1" t="s">
        <v>16</v>
      </c>
      <c r="D70" s="2">
        <v>2000</v>
      </c>
      <c r="E70" s="2">
        <v>110</v>
      </c>
      <c r="F70" s="3">
        <f>Table1[[#This Row],[Defective Units]]/Table1[[#This Row],[Total Unit]]</f>
        <v>4.5499999999999999E-2</v>
      </c>
      <c r="G70" s="2" t="str">
        <f>_xlfn.SWITCH(TRUE(),ROUND(Table1[[#This Row],[Defect Rate]],2)&gt;=4%,"High Risk",ROUND(Table1[[#This Row],[Defect Rate]],2)&gt;=3%,"Medium Risk","Low Risk")</f>
        <v>High Risk</v>
      </c>
      <c r="H70" s="2" t="str">
        <f>_xlfn.SWITCH(TRUE(),Table1[[#This Row],[Shipping Cost ($)]]&gt;=700,"Expensive",Table1[[#This Row],[Shipping Cost ($)]]&gt;=500,"Economical","Low Cost")</f>
        <v>Low Cost</v>
      </c>
      <c r="I70" s="1" t="s">
        <v>24</v>
      </c>
    </row>
    <row r="71" spans="1:9" x14ac:dyDescent="0.3">
      <c r="A71" s="1" t="s">
        <v>94</v>
      </c>
      <c r="B71" s="2">
        <v>92</v>
      </c>
      <c r="C71" s="1" t="s">
        <v>17</v>
      </c>
      <c r="D71" s="2">
        <v>2000</v>
      </c>
      <c r="E71" s="2">
        <v>850</v>
      </c>
      <c r="F71" s="3">
        <f>Table1[[#This Row],[Defective Units]]/Table1[[#This Row],[Total Unit]]</f>
        <v>4.5999999999999999E-2</v>
      </c>
      <c r="G71" s="2" t="str">
        <f>_xlfn.SWITCH(TRUE(),ROUND(Table1[[#This Row],[Defect Rate]],2)&gt;=4%,"High Risk",ROUND(Table1[[#This Row],[Defect Rate]],2)&gt;=3%,"Medium Risk","Low Risk")</f>
        <v>High Risk</v>
      </c>
      <c r="H71" s="2" t="str">
        <f>_xlfn.SWITCH(TRUE(),Table1[[#This Row],[Shipping Cost ($)]]&gt;=700,"Expensive",Table1[[#This Row],[Shipping Cost ($)]]&gt;=500,"Economical","Low Cost")</f>
        <v>Expensive</v>
      </c>
      <c r="I71" s="1" t="s">
        <v>25</v>
      </c>
    </row>
    <row r="72" spans="1:9" x14ac:dyDescent="0.3">
      <c r="A72" s="1" t="s">
        <v>95</v>
      </c>
      <c r="B72" s="2">
        <v>93</v>
      </c>
      <c r="C72" s="2" t="s">
        <v>20</v>
      </c>
      <c r="D72" s="2">
        <v>2000</v>
      </c>
      <c r="E72" s="2">
        <v>180</v>
      </c>
      <c r="F72" s="3">
        <f>Table1[[#This Row],[Defective Units]]/Table1[[#This Row],[Total Unit]]</f>
        <v>4.65E-2</v>
      </c>
      <c r="G72" s="2" t="str">
        <f>_xlfn.SWITCH(TRUE(),ROUND(Table1[[#This Row],[Defect Rate]],2)&gt;=4%,"High Risk",ROUND(Table1[[#This Row],[Defect Rate]],2)&gt;=3%,"Medium Risk","Low Risk")</f>
        <v>High Risk</v>
      </c>
      <c r="H72" s="2" t="str">
        <f>_xlfn.SWITCH(TRUE(),Table1[[#This Row],[Shipping Cost ($)]]&gt;=700,"Expensive",Table1[[#This Row],[Shipping Cost ($)]]&gt;=500,"Economical","Low Cost")</f>
        <v>Low Cost</v>
      </c>
      <c r="I72" s="1" t="s">
        <v>24</v>
      </c>
    </row>
    <row r="73" spans="1:9" x14ac:dyDescent="0.3">
      <c r="A73" s="1" t="s">
        <v>96</v>
      </c>
      <c r="B73" s="2">
        <v>94</v>
      </c>
      <c r="C73" s="2" t="s">
        <v>18</v>
      </c>
      <c r="D73" s="2">
        <v>2000</v>
      </c>
      <c r="E73" s="2">
        <v>500</v>
      </c>
      <c r="F73" s="3">
        <f>Table1[[#This Row],[Defective Units]]/Table1[[#This Row],[Total Unit]]</f>
        <v>4.7E-2</v>
      </c>
      <c r="G73" s="2" t="str">
        <f>_xlfn.SWITCH(TRUE(),ROUND(Table1[[#This Row],[Defect Rate]],2)&gt;=4%,"High Risk",ROUND(Table1[[#This Row],[Defect Rate]],2)&gt;=3%,"Medium Risk","Low Risk")</f>
        <v>High Risk</v>
      </c>
      <c r="H73" s="2" t="str">
        <f>_xlfn.SWITCH(TRUE(),Table1[[#This Row],[Shipping Cost ($)]]&gt;=700,"Expensive",Table1[[#This Row],[Shipping Cost ($)]]&gt;=500,"Economical","Low Cost")</f>
        <v>Economical</v>
      </c>
      <c r="I73" s="1" t="s">
        <v>25</v>
      </c>
    </row>
    <row r="74" spans="1:9" x14ac:dyDescent="0.3">
      <c r="A74" s="1" t="s">
        <v>97</v>
      </c>
      <c r="B74" s="2">
        <v>95</v>
      </c>
      <c r="C74" s="2" t="s">
        <v>19</v>
      </c>
      <c r="D74" s="2">
        <v>2000</v>
      </c>
      <c r="E74" s="2">
        <v>480</v>
      </c>
      <c r="F74" s="3">
        <f>Table1[[#This Row],[Defective Units]]/Table1[[#This Row],[Total Unit]]</f>
        <v>4.7500000000000001E-2</v>
      </c>
      <c r="G74" s="2" t="str">
        <f>_xlfn.SWITCH(TRUE(),ROUND(Table1[[#This Row],[Defect Rate]],2)&gt;=4%,"High Risk",ROUND(Table1[[#This Row],[Defect Rate]],2)&gt;=3%,"Medium Risk","Low Risk")</f>
        <v>High Risk</v>
      </c>
      <c r="H74" s="2" t="str">
        <f>_xlfn.SWITCH(TRUE(),Table1[[#This Row],[Shipping Cost ($)]]&gt;=700,"Expensive",Table1[[#This Row],[Shipping Cost ($)]]&gt;=500,"Economical","Low Cost")</f>
        <v>Low Cost</v>
      </c>
      <c r="I74" s="1" t="s">
        <v>24</v>
      </c>
    </row>
    <row r="75" spans="1:9" x14ac:dyDescent="0.3">
      <c r="A75" s="1" t="s">
        <v>98</v>
      </c>
      <c r="B75" s="2">
        <v>96</v>
      </c>
      <c r="C75" s="2" t="s">
        <v>21</v>
      </c>
      <c r="D75" s="2">
        <v>2000</v>
      </c>
      <c r="E75" s="2">
        <v>150</v>
      </c>
      <c r="F75" s="3">
        <f>Table1[[#This Row],[Defective Units]]/Table1[[#This Row],[Total Unit]]</f>
        <v>4.8000000000000001E-2</v>
      </c>
      <c r="G75" s="2" t="str">
        <f>_xlfn.SWITCH(TRUE(),ROUND(Table1[[#This Row],[Defect Rate]],2)&gt;=4%,"High Risk",ROUND(Table1[[#This Row],[Defect Rate]],2)&gt;=3%,"Medium Risk","Low Risk")</f>
        <v>High Risk</v>
      </c>
      <c r="H75" s="2" t="str">
        <f>_xlfn.SWITCH(TRUE(),Table1[[#This Row],[Shipping Cost ($)]]&gt;=700,"Expensive",Table1[[#This Row],[Shipping Cost ($)]]&gt;=500,"Economical","Low Cost")</f>
        <v>Low Cost</v>
      </c>
      <c r="I75" s="1" t="s">
        <v>25</v>
      </c>
    </row>
    <row r="76" spans="1:9" x14ac:dyDescent="0.3">
      <c r="A76" s="1" t="s">
        <v>99</v>
      </c>
      <c r="B76" s="2">
        <v>97</v>
      </c>
      <c r="C76" s="1" t="s">
        <v>13</v>
      </c>
      <c r="D76" s="2">
        <v>2000</v>
      </c>
      <c r="E76" s="2">
        <v>720</v>
      </c>
      <c r="F76" s="3">
        <f>Table1[[#This Row],[Defective Units]]/Table1[[#This Row],[Total Unit]]</f>
        <v>4.8500000000000001E-2</v>
      </c>
      <c r="G76" s="2" t="str">
        <f>_xlfn.SWITCH(TRUE(),ROUND(Table1[[#This Row],[Defect Rate]],2)&gt;=4%,"High Risk",ROUND(Table1[[#This Row],[Defect Rate]],2)&gt;=3%,"Medium Risk","Low Risk")</f>
        <v>High Risk</v>
      </c>
      <c r="H76" s="2" t="str">
        <f>_xlfn.SWITCH(TRUE(),Table1[[#This Row],[Shipping Cost ($)]]&gt;=700,"Expensive",Table1[[#This Row],[Shipping Cost ($)]]&gt;=500,"Economical","Low Cost")</f>
        <v>Expensive</v>
      </c>
      <c r="I76" s="1" t="s">
        <v>24</v>
      </c>
    </row>
    <row r="77" spans="1:9" x14ac:dyDescent="0.3">
      <c r="A77" s="1" t="s">
        <v>100</v>
      </c>
      <c r="B77" s="2">
        <v>98</v>
      </c>
      <c r="C77" s="1" t="s">
        <v>14</v>
      </c>
      <c r="D77" s="2">
        <v>2000</v>
      </c>
      <c r="E77" s="2">
        <v>330</v>
      </c>
      <c r="F77" s="3">
        <f>Table1[[#This Row],[Defective Units]]/Table1[[#This Row],[Total Unit]]</f>
        <v>4.9000000000000002E-2</v>
      </c>
      <c r="G77" s="2" t="str">
        <f>_xlfn.SWITCH(TRUE(),ROUND(Table1[[#This Row],[Defect Rate]],2)&gt;=4%,"High Risk",ROUND(Table1[[#This Row],[Defect Rate]],2)&gt;=3%,"Medium Risk","Low Risk")</f>
        <v>High Risk</v>
      </c>
      <c r="H77" s="2" t="str">
        <f>_xlfn.SWITCH(TRUE(),Table1[[#This Row],[Shipping Cost ($)]]&gt;=700,"Expensive",Table1[[#This Row],[Shipping Cost ($)]]&gt;=500,"Economical","Low Cost")</f>
        <v>Low Cost</v>
      </c>
      <c r="I77" s="1" t="s">
        <v>25</v>
      </c>
    </row>
    <row r="78" spans="1:9" x14ac:dyDescent="0.3">
      <c r="A78" s="1" t="s">
        <v>101</v>
      </c>
      <c r="B78" s="2">
        <v>99</v>
      </c>
      <c r="C78" s="1" t="s">
        <v>15</v>
      </c>
      <c r="D78" s="2">
        <v>2000</v>
      </c>
      <c r="E78" s="2">
        <v>90</v>
      </c>
      <c r="F78" s="3">
        <f>Table1[[#This Row],[Defective Units]]/Table1[[#This Row],[Total Unit]]</f>
        <v>4.9500000000000002E-2</v>
      </c>
      <c r="G78" s="2" t="str">
        <f>_xlfn.SWITCH(TRUE(),ROUND(Table1[[#This Row],[Defect Rate]],2)&gt;=4%,"High Risk",ROUND(Table1[[#This Row],[Defect Rate]],2)&gt;=3%,"Medium Risk","Low Risk")</f>
        <v>High Risk</v>
      </c>
      <c r="H78" s="2" t="str">
        <f>_xlfn.SWITCH(TRUE(),Table1[[#This Row],[Shipping Cost ($)]]&gt;=700,"Expensive",Table1[[#This Row],[Shipping Cost ($)]]&gt;=500,"Economical","Low Cost")</f>
        <v>Low Cost</v>
      </c>
      <c r="I78" s="1" t="s">
        <v>24</v>
      </c>
    </row>
    <row r="79" spans="1:9" x14ac:dyDescent="0.3">
      <c r="A79" s="1" t="s">
        <v>102</v>
      </c>
      <c r="B79" s="2">
        <v>100</v>
      </c>
      <c r="C79" s="1" t="s">
        <v>16</v>
      </c>
      <c r="D79" s="2">
        <v>2000</v>
      </c>
      <c r="E79" s="2">
        <v>500</v>
      </c>
      <c r="F79" s="3">
        <f>Table1[[#This Row],[Defective Units]]/Table1[[#This Row],[Total Unit]]</f>
        <v>0.05</v>
      </c>
      <c r="G79" s="2" t="str">
        <f>_xlfn.SWITCH(TRUE(),ROUND(Table1[[#This Row],[Defect Rate]],2)&gt;=4%,"High Risk",ROUND(Table1[[#This Row],[Defect Rate]],2)&gt;=3%,"Medium Risk","Low Risk")</f>
        <v>High Risk</v>
      </c>
      <c r="H79" s="2" t="str">
        <f>_xlfn.SWITCH(TRUE(),Table1[[#This Row],[Shipping Cost ($)]]&gt;=700,"Expensive",Table1[[#This Row],[Shipping Cost ($)]]&gt;=500,"Economical","Low Cost")</f>
        <v>Economical</v>
      </c>
      <c r="I79" s="1" t="s">
        <v>25</v>
      </c>
    </row>
    <row r="80" spans="1:9" x14ac:dyDescent="0.3">
      <c r="A80" s="1" t="s">
        <v>103</v>
      </c>
      <c r="B80" s="2">
        <v>101</v>
      </c>
      <c r="C80" s="1" t="s">
        <v>17</v>
      </c>
      <c r="D80" s="2">
        <v>2000</v>
      </c>
      <c r="E80" s="2">
        <v>110</v>
      </c>
      <c r="F80" s="3">
        <f>Table1[[#This Row],[Defective Units]]/Table1[[#This Row],[Total Unit]]</f>
        <v>5.0500000000000003E-2</v>
      </c>
      <c r="G80" s="2" t="str">
        <f>_xlfn.SWITCH(TRUE(),ROUND(Table1[[#This Row],[Defect Rate]],2)&gt;=4%,"High Risk",ROUND(Table1[[#This Row],[Defect Rate]],2)&gt;=3%,"Medium Risk","Low Risk")</f>
        <v>High Risk</v>
      </c>
      <c r="H80" s="2" t="str">
        <f>_xlfn.SWITCH(TRUE(),Table1[[#This Row],[Shipping Cost ($)]]&gt;=700,"Expensive",Table1[[#This Row],[Shipping Cost ($)]]&gt;=500,"Economical","Low Cost")</f>
        <v>Low Cost</v>
      </c>
      <c r="I80" s="1" t="s">
        <v>24</v>
      </c>
    </row>
    <row r="81" spans="1:9" x14ac:dyDescent="0.3">
      <c r="A81" s="1" t="s">
        <v>104</v>
      </c>
      <c r="B81" s="2">
        <v>102</v>
      </c>
      <c r="C81" s="2" t="s">
        <v>20</v>
      </c>
      <c r="D81" s="2">
        <v>2000</v>
      </c>
      <c r="E81" s="2">
        <v>850</v>
      </c>
      <c r="F81" s="3">
        <f>Table1[[#This Row],[Defective Units]]/Table1[[#This Row],[Total Unit]]</f>
        <v>5.0999999999999997E-2</v>
      </c>
      <c r="G81" s="2" t="str">
        <f>_xlfn.SWITCH(TRUE(),ROUND(Table1[[#This Row],[Defect Rate]],2)&gt;=4%,"High Risk",ROUND(Table1[[#This Row],[Defect Rate]],2)&gt;=3%,"Medium Risk","Low Risk")</f>
        <v>High Risk</v>
      </c>
      <c r="H81" s="2" t="str">
        <f>_xlfn.SWITCH(TRUE(),Table1[[#This Row],[Shipping Cost ($)]]&gt;=700,"Expensive",Table1[[#This Row],[Shipping Cost ($)]]&gt;=500,"Economical","Low Cost")</f>
        <v>Expensive</v>
      </c>
      <c r="I81" s="1" t="s">
        <v>25</v>
      </c>
    </row>
    <row r="82" spans="1:9" x14ac:dyDescent="0.3">
      <c r="A82" s="1" t="s">
        <v>105</v>
      </c>
      <c r="B82" s="2">
        <v>53</v>
      </c>
      <c r="C82" s="2" t="s">
        <v>18</v>
      </c>
      <c r="D82" s="2">
        <v>2000</v>
      </c>
      <c r="E82" s="2">
        <v>180</v>
      </c>
      <c r="F82" s="3">
        <f>Table1[[#This Row],[Defective Units]]/Table1[[#This Row],[Total Unit]]</f>
        <v>2.6499999999999999E-2</v>
      </c>
      <c r="G82" s="2" t="str">
        <f>_xlfn.SWITCH(TRUE(),ROUND(Table1[[#This Row],[Defect Rate]],2)&gt;=4%,"High Risk",ROUND(Table1[[#This Row],[Defect Rate]],2)&gt;=3%,"Medium Risk","Low Risk")</f>
        <v>Medium Risk</v>
      </c>
      <c r="H82" s="2" t="str">
        <f>_xlfn.SWITCH(TRUE(),Table1[[#This Row],[Shipping Cost ($)]]&gt;=700,"Expensive",Table1[[#This Row],[Shipping Cost ($)]]&gt;=500,"Economical","Low Cost")</f>
        <v>Low Cost</v>
      </c>
      <c r="I82" s="1" t="s">
        <v>24</v>
      </c>
    </row>
    <row r="83" spans="1:9" x14ac:dyDescent="0.3">
      <c r="A83" s="1" t="s">
        <v>106</v>
      </c>
      <c r="B83" s="2">
        <v>54</v>
      </c>
      <c r="C83" s="2" t="s">
        <v>19</v>
      </c>
      <c r="D83" s="2">
        <v>2000</v>
      </c>
      <c r="E83" s="2">
        <v>420</v>
      </c>
      <c r="F83" s="3">
        <f>Table1[[#This Row],[Defective Units]]/Table1[[#This Row],[Total Unit]]</f>
        <v>2.7E-2</v>
      </c>
      <c r="G83" s="2" t="str">
        <f>_xlfn.SWITCH(TRUE(),ROUND(Table1[[#This Row],[Defect Rate]],2)&gt;=4%,"High Risk",ROUND(Table1[[#This Row],[Defect Rate]],2)&gt;=3%,"Medium Risk","Low Risk")</f>
        <v>Medium Risk</v>
      </c>
      <c r="H83" s="2" t="str">
        <f>_xlfn.SWITCH(TRUE(),Table1[[#This Row],[Shipping Cost ($)]]&gt;=700,"Expensive",Table1[[#This Row],[Shipping Cost ($)]]&gt;=500,"Economical","Low Cost")</f>
        <v>Low Cost</v>
      </c>
      <c r="I83" s="1" t="s">
        <v>25</v>
      </c>
    </row>
    <row r="84" spans="1:9" x14ac:dyDescent="0.3">
      <c r="A84" s="1" t="s">
        <v>107</v>
      </c>
      <c r="B84" s="2">
        <v>55</v>
      </c>
      <c r="C84" s="2" t="s">
        <v>21</v>
      </c>
      <c r="D84" s="2">
        <v>2000</v>
      </c>
      <c r="E84" s="2">
        <v>260</v>
      </c>
      <c r="F84" s="3">
        <f>Table1[[#This Row],[Defective Units]]/Table1[[#This Row],[Total Unit]]</f>
        <v>2.75E-2</v>
      </c>
      <c r="G84" s="2" t="str">
        <f>_xlfn.SWITCH(TRUE(),ROUND(Table1[[#This Row],[Defect Rate]],2)&gt;=4%,"High Risk",ROUND(Table1[[#This Row],[Defect Rate]],2)&gt;=3%,"Medium Risk","Low Risk")</f>
        <v>Medium Risk</v>
      </c>
      <c r="H84" s="2" t="str">
        <f>_xlfn.SWITCH(TRUE(),Table1[[#This Row],[Shipping Cost ($)]]&gt;=700,"Expensive",Table1[[#This Row],[Shipping Cost ($)]]&gt;=500,"Economical","Low Cost")</f>
        <v>Low Cost</v>
      </c>
      <c r="I84" s="1" t="s">
        <v>24</v>
      </c>
    </row>
    <row r="85" spans="1:9" x14ac:dyDescent="0.3">
      <c r="A85" s="1" t="s">
        <v>108</v>
      </c>
      <c r="B85" s="2">
        <v>56</v>
      </c>
      <c r="C85" s="1" t="s">
        <v>13</v>
      </c>
      <c r="D85" s="2">
        <v>2000</v>
      </c>
      <c r="E85" s="2">
        <v>140</v>
      </c>
      <c r="F85" s="3">
        <f>Table1[[#This Row],[Defective Units]]/Table1[[#This Row],[Total Unit]]</f>
        <v>2.8000000000000001E-2</v>
      </c>
      <c r="G85" s="2" t="str">
        <f>_xlfn.SWITCH(TRUE(),ROUND(Table1[[#This Row],[Defect Rate]],2)&gt;=4%,"High Risk",ROUND(Table1[[#This Row],[Defect Rate]],2)&gt;=3%,"Medium Risk","Low Risk")</f>
        <v>Medium Risk</v>
      </c>
      <c r="H85" s="2" t="str">
        <f>_xlfn.SWITCH(TRUE(),Table1[[#This Row],[Shipping Cost ($)]]&gt;=700,"Expensive",Table1[[#This Row],[Shipping Cost ($)]]&gt;=500,"Economical","Low Cost")</f>
        <v>Low Cost</v>
      </c>
      <c r="I85" s="1" t="s">
        <v>25</v>
      </c>
    </row>
    <row r="86" spans="1:9" x14ac:dyDescent="0.3">
      <c r="A86" s="1" t="s">
        <v>109</v>
      </c>
      <c r="B86" s="2">
        <v>57</v>
      </c>
      <c r="C86" s="1" t="s">
        <v>14</v>
      </c>
      <c r="D86" s="2">
        <v>2000</v>
      </c>
      <c r="E86" s="2">
        <v>980</v>
      </c>
      <c r="F86" s="3">
        <f>Table1[[#This Row],[Defective Units]]/Table1[[#This Row],[Total Unit]]</f>
        <v>2.8500000000000001E-2</v>
      </c>
      <c r="G86" s="2" t="str">
        <f>_xlfn.SWITCH(TRUE(),ROUND(Table1[[#This Row],[Defect Rate]],2)&gt;=4%,"High Risk",ROUND(Table1[[#This Row],[Defect Rate]],2)&gt;=3%,"Medium Risk","Low Risk")</f>
        <v>Medium Risk</v>
      </c>
      <c r="H86" s="2" t="str">
        <f>_xlfn.SWITCH(TRUE(),Table1[[#This Row],[Shipping Cost ($)]]&gt;=700,"Expensive",Table1[[#This Row],[Shipping Cost ($)]]&gt;=500,"Economical","Low Cost")</f>
        <v>Expensive</v>
      </c>
      <c r="I86" s="1" t="s">
        <v>24</v>
      </c>
    </row>
    <row r="87" spans="1:9" x14ac:dyDescent="0.3">
      <c r="A87" s="1" t="s">
        <v>110</v>
      </c>
      <c r="B87" s="2">
        <v>58</v>
      </c>
      <c r="C87" s="1" t="s">
        <v>15</v>
      </c>
      <c r="D87" s="2">
        <v>2000</v>
      </c>
      <c r="E87" s="2">
        <v>310</v>
      </c>
      <c r="F87" s="3">
        <f>Table1[[#This Row],[Defective Units]]/Table1[[#This Row],[Total Unit]]</f>
        <v>2.9000000000000001E-2</v>
      </c>
      <c r="G87" s="2" t="str">
        <f>_xlfn.SWITCH(TRUE(),ROUND(Table1[[#This Row],[Defect Rate]],2)&gt;=4%,"High Risk",ROUND(Table1[[#This Row],[Defect Rate]],2)&gt;=3%,"Medium Risk","Low Risk")</f>
        <v>Medium Risk</v>
      </c>
      <c r="H87" s="2" t="str">
        <f>_xlfn.SWITCH(TRUE(),Table1[[#This Row],[Shipping Cost ($)]]&gt;=700,"Expensive",Table1[[#This Row],[Shipping Cost ($)]]&gt;=500,"Economical","Low Cost")</f>
        <v>Low Cost</v>
      </c>
      <c r="I87" s="1" t="s">
        <v>25</v>
      </c>
    </row>
    <row r="88" spans="1:9" x14ac:dyDescent="0.3">
      <c r="A88" s="1" t="s">
        <v>111</v>
      </c>
      <c r="B88" s="2">
        <v>59</v>
      </c>
      <c r="C88" s="1" t="s">
        <v>16</v>
      </c>
      <c r="D88" s="2">
        <v>2000</v>
      </c>
      <c r="E88" s="2">
        <v>95</v>
      </c>
      <c r="F88" s="3">
        <f>Table1[[#This Row],[Defective Units]]/Table1[[#This Row],[Total Unit]]</f>
        <v>2.9499999999999998E-2</v>
      </c>
      <c r="G88" s="2" t="str">
        <f>_xlfn.SWITCH(TRUE(),ROUND(Table1[[#This Row],[Defect Rate]],2)&gt;=4%,"High Risk",ROUND(Table1[[#This Row],[Defect Rate]],2)&gt;=3%,"Medium Risk","Low Risk")</f>
        <v>Medium Risk</v>
      </c>
      <c r="H88" s="2" t="str">
        <f>_xlfn.SWITCH(TRUE(),Table1[[#This Row],[Shipping Cost ($)]]&gt;=700,"Expensive",Table1[[#This Row],[Shipping Cost ($)]]&gt;=500,"Economical","Low Cost")</f>
        <v>Low Cost</v>
      </c>
      <c r="I88" s="1" t="s">
        <v>24</v>
      </c>
    </row>
    <row r="89" spans="1:9" x14ac:dyDescent="0.3">
      <c r="A89" s="1" t="s">
        <v>112</v>
      </c>
      <c r="B89" s="2">
        <v>60</v>
      </c>
      <c r="C89" s="1" t="s">
        <v>17</v>
      </c>
      <c r="D89" s="2">
        <v>2000</v>
      </c>
      <c r="E89" s="2">
        <v>770</v>
      </c>
      <c r="F89" s="3">
        <f>Table1[[#This Row],[Defective Units]]/Table1[[#This Row],[Total Unit]]</f>
        <v>0.03</v>
      </c>
      <c r="G89" s="2" t="str">
        <f>_xlfn.SWITCH(TRUE(),ROUND(Table1[[#This Row],[Defect Rate]],2)&gt;=4%,"High Risk",ROUND(Table1[[#This Row],[Defect Rate]],2)&gt;=3%,"Medium Risk","Low Risk")</f>
        <v>Medium Risk</v>
      </c>
      <c r="H89" s="2" t="str">
        <f>_xlfn.SWITCH(TRUE(),Table1[[#This Row],[Shipping Cost ($)]]&gt;=700,"Expensive",Table1[[#This Row],[Shipping Cost ($)]]&gt;=500,"Economical","Low Cost")</f>
        <v>Expensive</v>
      </c>
      <c r="I89" s="1" t="s">
        <v>25</v>
      </c>
    </row>
    <row r="90" spans="1:9" x14ac:dyDescent="0.3">
      <c r="A90" s="1" t="s">
        <v>113</v>
      </c>
      <c r="B90" s="2">
        <v>61</v>
      </c>
      <c r="C90" s="2" t="s">
        <v>20</v>
      </c>
      <c r="D90" s="2">
        <v>2000</v>
      </c>
      <c r="E90" s="2">
        <v>130</v>
      </c>
      <c r="F90" s="3">
        <f>Table1[[#This Row],[Defective Units]]/Table1[[#This Row],[Total Unit]]</f>
        <v>3.0499999999999999E-2</v>
      </c>
      <c r="G90" s="2" t="str">
        <f>_xlfn.SWITCH(TRUE(),ROUND(Table1[[#This Row],[Defect Rate]],2)&gt;=4%,"High Risk",ROUND(Table1[[#This Row],[Defect Rate]],2)&gt;=3%,"Medium Risk","Low Risk")</f>
        <v>Medium Risk</v>
      </c>
      <c r="H90" s="2" t="str">
        <f>_xlfn.SWITCH(TRUE(),Table1[[#This Row],[Shipping Cost ($)]]&gt;=700,"Expensive",Table1[[#This Row],[Shipping Cost ($)]]&gt;=500,"Economical","Low Cost")</f>
        <v>Low Cost</v>
      </c>
      <c r="I90" s="1" t="s">
        <v>24</v>
      </c>
    </row>
    <row r="91" spans="1:9" x14ac:dyDescent="0.3">
      <c r="A91" s="1" t="s">
        <v>114</v>
      </c>
      <c r="B91" s="2">
        <v>62</v>
      </c>
      <c r="C91" s="2" t="s">
        <v>18</v>
      </c>
      <c r="D91" s="2">
        <v>2000</v>
      </c>
      <c r="E91" s="2">
        <v>460</v>
      </c>
      <c r="F91" s="3">
        <f>Table1[[#This Row],[Defective Units]]/Table1[[#This Row],[Total Unit]]</f>
        <v>3.1E-2</v>
      </c>
      <c r="G91" s="2" t="str">
        <f>_xlfn.SWITCH(TRUE(),ROUND(Table1[[#This Row],[Defect Rate]],2)&gt;=4%,"High Risk",ROUND(Table1[[#This Row],[Defect Rate]],2)&gt;=3%,"Medium Risk","Low Risk")</f>
        <v>Medium Risk</v>
      </c>
      <c r="H91" s="2" t="str">
        <f>_xlfn.SWITCH(TRUE(),Table1[[#This Row],[Shipping Cost ($)]]&gt;=700,"Expensive",Table1[[#This Row],[Shipping Cost ($)]]&gt;=500,"Economical","Low Cost")</f>
        <v>Low Cost</v>
      </c>
      <c r="I91" s="1" t="s">
        <v>25</v>
      </c>
    </row>
    <row r="92" spans="1:9" x14ac:dyDescent="0.3">
      <c r="A92" s="1" t="s">
        <v>115</v>
      </c>
      <c r="B92" s="2">
        <v>63</v>
      </c>
      <c r="C92" s="2" t="s">
        <v>19</v>
      </c>
      <c r="D92" s="2">
        <v>2000</v>
      </c>
      <c r="E92" s="2">
        <v>390</v>
      </c>
      <c r="F92" s="3">
        <f>Table1[[#This Row],[Defective Units]]/Table1[[#This Row],[Total Unit]]</f>
        <v>3.15E-2</v>
      </c>
      <c r="G92" s="2" t="str">
        <f>_xlfn.SWITCH(TRUE(),ROUND(Table1[[#This Row],[Defect Rate]],2)&gt;=4%,"High Risk",ROUND(Table1[[#This Row],[Defect Rate]],2)&gt;=3%,"Medium Risk","Low Risk")</f>
        <v>Medium Risk</v>
      </c>
      <c r="H92" s="2" t="str">
        <f>_xlfn.SWITCH(TRUE(),Table1[[#This Row],[Shipping Cost ($)]]&gt;=700,"Expensive",Table1[[#This Row],[Shipping Cost ($)]]&gt;=500,"Economical","Low Cost")</f>
        <v>Low Cost</v>
      </c>
      <c r="I92" s="1" t="s">
        <v>24</v>
      </c>
    </row>
    <row r="93" spans="1:9" x14ac:dyDescent="0.3">
      <c r="A93" s="1" t="s">
        <v>116</v>
      </c>
      <c r="B93" s="2">
        <v>64</v>
      </c>
      <c r="C93" s="2" t="s">
        <v>21</v>
      </c>
      <c r="D93" s="2">
        <v>2000</v>
      </c>
      <c r="E93" s="2">
        <v>520</v>
      </c>
      <c r="F93" s="3">
        <f>Table1[[#This Row],[Defective Units]]/Table1[[#This Row],[Total Unit]]</f>
        <v>3.2000000000000001E-2</v>
      </c>
      <c r="G93" s="2" t="str">
        <f>_xlfn.SWITCH(TRUE(),ROUND(Table1[[#This Row],[Defect Rate]],2)&gt;=4%,"High Risk",ROUND(Table1[[#This Row],[Defect Rate]],2)&gt;=3%,"Medium Risk","Low Risk")</f>
        <v>Medium Risk</v>
      </c>
      <c r="H93" s="2" t="str">
        <f>_xlfn.SWITCH(TRUE(),Table1[[#This Row],[Shipping Cost ($)]]&gt;=700,"Expensive",Table1[[#This Row],[Shipping Cost ($)]]&gt;=500,"Economical","Low Cost")</f>
        <v>Economical</v>
      </c>
      <c r="I93" s="1" t="s">
        <v>25</v>
      </c>
    </row>
    <row r="94" spans="1:9" x14ac:dyDescent="0.3">
      <c r="A94" s="1" t="s">
        <v>117</v>
      </c>
      <c r="B94" s="2">
        <v>65</v>
      </c>
      <c r="C94" s="1" t="s">
        <v>13</v>
      </c>
      <c r="D94" s="2">
        <v>2000</v>
      </c>
      <c r="E94" s="2">
        <v>880</v>
      </c>
      <c r="F94" s="3">
        <f>Table1[[#This Row],[Defective Units]]/Table1[[#This Row],[Total Unit]]</f>
        <v>3.2500000000000001E-2</v>
      </c>
      <c r="G94" s="2" t="str">
        <f>_xlfn.SWITCH(TRUE(),ROUND(Table1[[#This Row],[Defect Rate]],2)&gt;=4%,"High Risk",ROUND(Table1[[#This Row],[Defect Rate]],2)&gt;=3%,"Medium Risk","Low Risk")</f>
        <v>Medium Risk</v>
      </c>
      <c r="H94" s="2" t="str">
        <f>_xlfn.SWITCH(TRUE(),Table1[[#This Row],[Shipping Cost ($)]]&gt;=700,"Expensive",Table1[[#This Row],[Shipping Cost ($)]]&gt;=500,"Economical","Low Cost")</f>
        <v>Expensive</v>
      </c>
      <c r="I94" s="1" t="s">
        <v>24</v>
      </c>
    </row>
    <row r="95" spans="1:9" x14ac:dyDescent="0.3">
      <c r="A95" s="1" t="s">
        <v>118</v>
      </c>
      <c r="B95" s="2">
        <v>116</v>
      </c>
      <c r="C95" s="1" t="s">
        <v>14</v>
      </c>
      <c r="D95" s="2">
        <v>2000</v>
      </c>
      <c r="E95" s="2">
        <v>105</v>
      </c>
      <c r="F95" s="3">
        <f>Table1[[#This Row],[Defective Units]]/Table1[[#This Row],[Total Unit]]</f>
        <v>5.8000000000000003E-2</v>
      </c>
      <c r="G95" s="2" t="str">
        <f>_xlfn.SWITCH(TRUE(),ROUND(Table1[[#This Row],[Defect Rate]],2)&gt;=4%,"High Risk",ROUND(Table1[[#This Row],[Defect Rate]],2)&gt;=3%,"Medium Risk","Low Risk")</f>
        <v>High Risk</v>
      </c>
      <c r="H95" s="2" t="str">
        <f>_xlfn.SWITCH(TRUE(),Table1[[#This Row],[Shipping Cost ($)]]&gt;=700,"Expensive",Table1[[#This Row],[Shipping Cost ($)]]&gt;=500,"Economical","Low Cost")</f>
        <v>Low Cost</v>
      </c>
      <c r="I95" s="1" t="s">
        <v>25</v>
      </c>
    </row>
    <row r="96" spans="1:9" x14ac:dyDescent="0.3">
      <c r="A96" s="1" t="s">
        <v>119</v>
      </c>
      <c r="B96" s="2">
        <v>38</v>
      </c>
      <c r="C96" s="1" t="s">
        <v>15</v>
      </c>
      <c r="D96" s="2">
        <v>2000</v>
      </c>
      <c r="E96" s="2">
        <v>550</v>
      </c>
      <c r="F96" s="3">
        <f>Table1[[#This Row],[Defective Units]]/Table1[[#This Row],[Total Unit]]</f>
        <v>1.9E-2</v>
      </c>
      <c r="G96" s="2" t="str">
        <f>_xlfn.SWITCH(TRUE(),ROUND(Table1[[#This Row],[Defect Rate]],2)&gt;=4%,"High Risk",ROUND(Table1[[#This Row],[Defect Rate]],2)&gt;=3%,"Medium Risk","Low Risk")</f>
        <v>Low Risk</v>
      </c>
      <c r="H96" s="2" t="str">
        <f>_xlfn.SWITCH(TRUE(),Table1[[#This Row],[Shipping Cost ($)]]&gt;=700,"Expensive",Table1[[#This Row],[Shipping Cost ($)]]&gt;=500,"Economical","Low Cost")</f>
        <v>Economical</v>
      </c>
      <c r="I96" s="1" t="s">
        <v>24</v>
      </c>
    </row>
    <row r="97" spans="1:9" x14ac:dyDescent="0.3">
      <c r="A97" s="1" t="s">
        <v>120</v>
      </c>
      <c r="B97" s="2">
        <v>39</v>
      </c>
      <c r="C97" s="1" t="s">
        <v>16</v>
      </c>
      <c r="D97" s="2">
        <v>2000</v>
      </c>
      <c r="E97" s="2">
        <v>145</v>
      </c>
      <c r="F97" s="3">
        <f>Table1[[#This Row],[Defective Units]]/Table1[[#This Row],[Total Unit]]</f>
        <v>1.95E-2</v>
      </c>
      <c r="G97" s="2" t="str">
        <f>_xlfn.SWITCH(TRUE(),ROUND(Table1[[#This Row],[Defect Rate]],2)&gt;=4%,"High Risk",ROUND(Table1[[#This Row],[Defect Rate]],2)&gt;=3%,"Medium Risk","Low Risk")</f>
        <v>Low Risk</v>
      </c>
      <c r="H97" s="2" t="str">
        <f>_xlfn.SWITCH(TRUE(),Table1[[#This Row],[Shipping Cost ($)]]&gt;=700,"Expensive",Table1[[#This Row],[Shipping Cost ($)]]&gt;=500,"Economical","Low Cost")</f>
        <v>Low Cost</v>
      </c>
      <c r="I97" s="1" t="s">
        <v>25</v>
      </c>
    </row>
    <row r="98" spans="1:9" x14ac:dyDescent="0.3">
      <c r="A98" s="1" t="s">
        <v>121</v>
      </c>
      <c r="B98" s="2">
        <v>40</v>
      </c>
      <c r="C98" s="1" t="s">
        <v>17</v>
      </c>
      <c r="D98" s="2">
        <v>2000</v>
      </c>
      <c r="E98" s="2">
        <v>300</v>
      </c>
      <c r="F98" s="3">
        <f>Table1[[#This Row],[Defective Units]]/Table1[[#This Row],[Total Unit]]</f>
        <v>0.02</v>
      </c>
      <c r="G98" s="2" t="str">
        <f>_xlfn.SWITCH(TRUE(),ROUND(Table1[[#This Row],[Defect Rate]],2)&gt;=4%,"High Risk",ROUND(Table1[[#This Row],[Defect Rate]],2)&gt;=3%,"Medium Risk","Low Risk")</f>
        <v>Low Risk</v>
      </c>
      <c r="H98" s="2" t="str">
        <f>_xlfn.SWITCH(TRUE(),Table1[[#This Row],[Shipping Cost ($)]]&gt;=700,"Expensive",Table1[[#This Row],[Shipping Cost ($)]]&gt;=500,"Economical","Low Cost")</f>
        <v>Low Cost</v>
      </c>
      <c r="I98" s="1" t="s">
        <v>24</v>
      </c>
    </row>
    <row r="99" spans="1:9" x14ac:dyDescent="0.3">
      <c r="A99" s="1" t="s">
        <v>122</v>
      </c>
      <c r="B99" s="2">
        <v>41</v>
      </c>
      <c r="C99" s="2" t="s">
        <v>20</v>
      </c>
      <c r="D99" s="2">
        <v>2000</v>
      </c>
      <c r="E99" s="2">
        <v>65</v>
      </c>
      <c r="F99" s="3">
        <f>Table1[[#This Row],[Defective Units]]/Table1[[#This Row],[Total Unit]]</f>
        <v>2.0500000000000001E-2</v>
      </c>
      <c r="G99" s="2" t="str">
        <f>_xlfn.SWITCH(TRUE(),ROUND(Table1[[#This Row],[Defect Rate]],2)&gt;=4%,"High Risk",ROUND(Table1[[#This Row],[Defect Rate]],2)&gt;=3%,"Medium Risk","Low Risk")</f>
        <v>Low Risk</v>
      </c>
      <c r="H99" s="2" t="str">
        <f>_xlfn.SWITCH(TRUE(),Table1[[#This Row],[Shipping Cost ($)]]&gt;=700,"Expensive",Table1[[#This Row],[Shipping Cost ($)]]&gt;=500,"Economical","Low Cost")</f>
        <v>Low Cost</v>
      </c>
      <c r="I99" s="1" t="s">
        <v>25</v>
      </c>
    </row>
    <row r="100" spans="1:9" x14ac:dyDescent="0.3">
      <c r="A100" s="1" t="s">
        <v>123</v>
      </c>
      <c r="B100" s="2">
        <v>42</v>
      </c>
      <c r="C100" s="2" t="s">
        <v>18</v>
      </c>
      <c r="D100" s="2">
        <v>2000</v>
      </c>
      <c r="E100" s="2">
        <v>740</v>
      </c>
      <c r="F100" s="3">
        <f>Table1[[#This Row],[Defective Units]]/Table1[[#This Row],[Total Unit]]</f>
        <v>2.1000000000000001E-2</v>
      </c>
      <c r="G100" s="2" t="str">
        <f>_xlfn.SWITCH(TRUE(),ROUND(Table1[[#This Row],[Defect Rate]],2)&gt;=4%,"High Risk",ROUND(Table1[[#This Row],[Defect Rate]],2)&gt;=3%,"Medium Risk","Low Risk")</f>
        <v>Low Risk</v>
      </c>
      <c r="H100" s="2" t="str">
        <f>_xlfn.SWITCH(TRUE(),Table1[[#This Row],[Shipping Cost ($)]]&gt;=700,"Expensive",Table1[[#This Row],[Shipping Cost ($)]]&gt;=500,"Economical","Low Cost")</f>
        <v>Expensive</v>
      </c>
      <c r="I100" s="1" t="s">
        <v>24</v>
      </c>
    </row>
    <row r="101" spans="1:9" x14ac:dyDescent="0.3">
      <c r="A101" s="1" t="s">
        <v>124</v>
      </c>
      <c r="B101" s="2">
        <v>43</v>
      </c>
      <c r="C101" s="2" t="s">
        <v>19</v>
      </c>
      <c r="D101" s="2">
        <v>2000</v>
      </c>
      <c r="E101" s="2">
        <v>210</v>
      </c>
      <c r="F101" s="3">
        <f>Table1[[#This Row],[Defective Units]]/Table1[[#This Row],[Total Unit]]</f>
        <v>2.1499999999999998E-2</v>
      </c>
      <c r="G101" s="2" t="str">
        <f>_xlfn.SWITCH(TRUE(),ROUND(Table1[[#This Row],[Defect Rate]],2)&gt;=4%,"High Risk",ROUND(Table1[[#This Row],[Defect Rate]],2)&gt;=3%,"Medium Risk","Low Risk")</f>
        <v>Low Risk</v>
      </c>
      <c r="H101" s="2" t="str">
        <f>_xlfn.SWITCH(TRUE(),Table1[[#This Row],[Shipping Cost ($)]]&gt;=700,"Expensive",Table1[[#This Row],[Shipping Cost ($)]]&gt;=500,"Economical","Low Cost")</f>
        <v>Low Cost</v>
      </c>
      <c r="I101" s="1" t="s">
        <v>25</v>
      </c>
    </row>
    <row r="102" spans="1:9" x14ac:dyDescent="0.3">
      <c r="A102" s="1" t="s">
        <v>125</v>
      </c>
      <c r="B102" s="2">
        <v>44</v>
      </c>
      <c r="C102" s="2" t="s">
        <v>21</v>
      </c>
      <c r="D102" s="2">
        <v>2000</v>
      </c>
      <c r="E102" s="2">
        <v>430</v>
      </c>
      <c r="F102" s="3">
        <f>Table1[[#This Row],[Defective Units]]/Table1[[#This Row],[Total Unit]]</f>
        <v>2.1999999999999999E-2</v>
      </c>
      <c r="G102" s="2" t="str">
        <f>_xlfn.SWITCH(TRUE(),ROUND(Table1[[#This Row],[Defect Rate]],2)&gt;=4%,"High Risk",ROUND(Table1[[#This Row],[Defect Rate]],2)&gt;=3%,"Medium Risk","Low Risk")</f>
        <v>Low Risk</v>
      </c>
      <c r="H102" s="2" t="str">
        <f>_xlfn.SWITCH(TRUE(),Table1[[#This Row],[Shipping Cost ($)]]&gt;=700,"Expensive",Table1[[#This Row],[Shipping Cost ($)]]&gt;=500,"Economical","Low Cost")</f>
        <v>Low Cost</v>
      </c>
      <c r="I102" s="1" t="s">
        <v>24</v>
      </c>
    </row>
    <row r="103" spans="1:9" x14ac:dyDescent="0.3">
      <c r="A103" s="1" t="s">
        <v>126</v>
      </c>
      <c r="B103" s="2">
        <v>45</v>
      </c>
      <c r="C103" s="1" t="s">
        <v>13</v>
      </c>
      <c r="D103" s="2">
        <v>2000</v>
      </c>
      <c r="E103" s="2">
        <v>125</v>
      </c>
      <c r="F103" s="3">
        <f>Table1[[#This Row],[Defective Units]]/Table1[[#This Row],[Total Unit]]</f>
        <v>2.2499999999999999E-2</v>
      </c>
      <c r="G103" s="2" t="str">
        <f>_xlfn.SWITCH(TRUE(),ROUND(Table1[[#This Row],[Defect Rate]],2)&gt;=4%,"High Risk",ROUND(Table1[[#This Row],[Defect Rate]],2)&gt;=3%,"Medium Risk","Low Risk")</f>
        <v>Low Risk</v>
      </c>
      <c r="H103" s="2" t="str">
        <f>_xlfn.SWITCH(TRUE(),Table1[[#This Row],[Shipping Cost ($)]]&gt;=700,"Expensive",Table1[[#This Row],[Shipping Cost ($)]]&gt;=500,"Economical","Low Cost")</f>
        <v>Low Cost</v>
      </c>
      <c r="I103" s="1" t="s">
        <v>25</v>
      </c>
    </row>
    <row r="104" spans="1:9" x14ac:dyDescent="0.3">
      <c r="A104" s="1" t="s">
        <v>127</v>
      </c>
      <c r="B104" s="2">
        <v>46</v>
      </c>
      <c r="C104" s="1" t="s">
        <v>14</v>
      </c>
      <c r="D104" s="2">
        <v>2000</v>
      </c>
      <c r="E104" s="2">
        <v>680</v>
      </c>
      <c r="F104" s="3">
        <f>Table1[[#This Row],[Defective Units]]/Table1[[#This Row],[Total Unit]]</f>
        <v>2.3E-2</v>
      </c>
      <c r="G104" s="2" t="str">
        <f>_xlfn.SWITCH(TRUE(),ROUND(Table1[[#This Row],[Defect Rate]],2)&gt;=4%,"High Risk",ROUND(Table1[[#This Row],[Defect Rate]],2)&gt;=3%,"Medium Risk","Low Risk")</f>
        <v>Low Risk</v>
      </c>
      <c r="H104" s="2" t="str">
        <f>_xlfn.SWITCH(TRUE(),Table1[[#This Row],[Shipping Cost ($)]]&gt;=700,"Expensive",Table1[[#This Row],[Shipping Cost ($)]]&gt;=500,"Economical","Low Cost")</f>
        <v>Economical</v>
      </c>
      <c r="I104" s="1" t="s">
        <v>24</v>
      </c>
    </row>
    <row r="105" spans="1:9" x14ac:dyDescent="0.3">
      <c r="A105" s="1" t="s">
        <v>128</v>
      </c>
      <c r="B105" s="2">
        <v>47</v>
      </c>
      <c r="C105" s="1" t="s">
        <v>15</v>
      </c>
      <c r="D105" s="2">
        <v>2000</v>
      </c>
      <c r="E105" s="2">
        <v>250</v>
      </c>
      <c r="F105" s="3">
        <f>Table1[[#This Row],[Defective Units]]/Table1[[#This Row],[Total Unit]]</f>
        <v>2.35E-2</v>
      </c>
      <c r="G105" s="2" t="str">
        <f>_xlfn.SWITCH(TRUE(),ROUND(Table1[[#This Row],[Defect Rate]],2)&gt;=4%,"High Risk",ROUND(Table1[[#This Row],[Defect Rate]],2)&gt;=3%,"Medium Risk","Low Risk")</f>
        <v>Low Risk</v>
      </c>
      <c r="H105" s="2" t="str">
        <f>_xlfn.SWITCH(TRUE(),Table1[[#This Row],[Shipping Cost ($)]]&gt;=700,"Expensive",Table1[[#This Row],[Shipping Cost ($)]]&gt;=500,"Economical","Low Cost")</f>
        <v>Low Cost</v>
      </c>
      <c r="I105" s="1" t="s">
        <v>25</v>
      </c>
    </row>
    <row r="106" spans="1:9" x14ac:dyDescent="0.3">
      <c r="A106" s="1" t="s">
        <v>129</v>
      </c>
      <c r="B106" s="2">
        <v>48</v>
      </c>
      <c r="C106" s="1" t="s">
        <v>16</v>
      </c>
      <c r="D106" s="2">
        <v>2000</v>
      </c>
      <c r="E106" s="2">
        <v>890</v>
      </c>
      <c r="F106" s="3">
        <f>Table1[[#This Row],[Defective Units]]/Table1[[#This Row],[Total Unit]]</f>
        <v>2.4E-2</v>
      </c>
      <c r="G106" s="2" t="str">
        <f>_xlfn.SWITCH(TRUE(),ROUND(Table1[[#This Row],[Defect Rate]],2)&gt;=4%,"High Risk",ROUND(Table1[[#This Row],[Defect Rate]],2)&gt;=3%,"Medium Risk","Low Risk")</f>
        <v>Low Risk</v>
      </c>
      <c r="H106" s="2" t="str">
        <f>_xlfn.SWITCH(TRUE(),Table1[[#This Row],[Shipping Cost ($)]]&gt;=700,"Expensive",Table1[[#This Row],[Shipping Cost ($)]]&gt;=500,"Economical","Low Cost")</f>
        <v>Expensive</v>
      </c>
      <c r="I106" s="1" t="s">
        <v>24</v>
      </c>
    </row>
    <row r="107" spans="1:9" x14ac:dyDescent="0.3">
      <c r="A107" s="1" t="s">
        <v>130</v>
      </c>
      <c r="B107" s="2">
        <v>49</v>
      </c>
      <c r="C107" s="1" t="s">
        <v>17</v>
      </c>
      <c r="D107" s="2">
        <v>2000</v>
      </c>
      <c r="E107" s="2">
        <v>340</v>
      </c>
      <c r="F107" s="3">
        <f>Table1[[#This Row],[Defective Units]]/Table1[[#This Row],[Total Unit]]</f>
        <v>2.4500000000000001E-2</v>
      </c>
      <c r="G107" s="2" t="str">
        <f>_xlfn.SWITCH(TRUE(),ROUND(Table1[[#This Row],[Defect Rate]],2)&gt;=4%,"High Risk",ROUND(Table1[[#This Row],[Defect Rate]],2)&gt;=3%,"Medium Risk","Low Risk")</f>
        <v>Low Risk</v>
      </c>
      <c r="H107" s="2" t="str">
        <f>_xlfn.SWITCH(TRUE(),Table1[[#This Row],[Shipping Cost ($)]]&gt;=700,"Expensive",Table1[[#This Row],[Shipping Cost ($)]]&gt;=500,"Economical","Low Cost")</f>
        <v>Low Cost</v>
      </c>
      <c r="I107" s="1" t="s">
        <v>25</v>
      </c>
    </row>
    <row r="108" spans="1:9" x14ac:dyDescent="0.3">
      <c r="A108" s="1" t="s">
        <v>131</v>
      </c>
      <c r="B108" s="2">
        <v>50</v>
      </c>
      <c r="C108" s="2" t="s">
        <v>20</v>
      </c>
      <c r="D108" s="2">
        <v>2000</v>
      </c>
      <c r="E108" s="2">
        <v>275</v>
      </c>
      <c r="F108" s="3">
        <f>Table1[[#This Row],[Defective Units]]/Table1[[#This Row],[Total Unit]]</f>
        <v>2.5000000000000001E-2</v>
      </c>
      <c r="G108" s="2" t="str">
        <f>_xlfn.SWITCH(TRUE(),ROUND(Table1[[#This Row],[Defect Rate]],2)&gt;=4%,"High Risk",ROUND(Table1[[#This Row],[Defect Rate]],2)&gt;=3%,"Medium Risk","Low Risk")</f>
        <v>Medium Risk</v>
      </c>
      <c r="H108" s="2" t="str">
        <f>_xlfn.SWITCH(TRUE(),Table1[[#This Row],[Shipping Cost ($)]]&gt;=700,"Expensive",Table1[[#This Row],[Shipping Cost ($)]]&gt;=500,"Economical","Low Cost")</f>
        <v>Low Cost</v>
      </c>
      <c r="I108" s="1" t="s">
        <v>24</v>
      </c>
    </row>
    <row r="109" spans="1:9" x14ac:dyDescent="0.3">
      <c r="A109" s="1" t="s">
        <v>132</v>
      </c>
      <c r="B109" s="2">
        <v>51</v>
      </c>
      <c r="C109" s="2" t="s">
        <v>18</v>
      </c>
      <c r="D109" s="2">
        <v>2000</v>
      </c>
      <c r="E109" s="2">
        <v>600</v>
      </c>
      <c r="F109" s="3">
        <f>Table1[[#This Row],[Defective Units]]/Table1[[#This Row],[Total Unit]]</f>
        <v>2.5499999999999998E-2</v>
      </c>
      <c r="G109" s="2" t="str">
        <f>_xlfn.SWITCH(TRUE(),ROUND(Table1[[#This Row],[Defect Rate]],2)&gt;=4%,"High Risk",ROUND(Table1[[#This Row],[Defect Rate]],2)&gt;=3%,"Medium Risk","Low Risk")</f>
        <v>Medium Risk</v>
      </c>
      <c r="H109" s="2" t="str">
        <f>_xlfn.SWITCH(TRUE(),Table1[[#This Row],[Shipping Cost ($)]]&gt;=700,"Expensive",Table1[[#This Row],[Shipping Cost ($)]]&gt;=500,"Economical","Low Cost")</f>
        <v>Economical</v>
      </c>
      <c r="I109" s="1" t="s">
        <v>25</v>
      </c>
    </row>
    <row r="110" spans="1:9" x14ac:dyDescent="0.3">
      <c r="A110" s="1" t="s">
        <v>133</v>
      </c>
      <c r="B110" s="2">
        <v>52</v>
      </c>
      <c r="C110" s="2" t="s">
        <v>19</v>
      </c>
      <c r="D110" s="2">
        <v>2000</v>
      </c>
      <c r="E110" s="2">
        <v>115</v>
      </c>
      <c r="F110" s="3">
        <f>Table1[[#This Row],[Defective Units]]/Table1[[#This Row],[Total Unit]]</f>
        <v>2.5999999999999999E-2</v>
      </c>
      <c r="G110" s="2" t="str">
        <f>_xlfn.SWITCH(TRUE(),ROUND(Table1[[#This Row],[Defect Rate]],2)&gt;=4%,"High Risk",ROUND(Table1[[#This Row],[Defect Rate]],2)&gt;=3%,"Medium Risk","Low Risk")</f>
        <v>Medium Risk</v>
      </c>
      <c r="H110" s="2" t="str">
        <f>_xlfn.SWITCH(TRUE(),Table1[[#This Row],[Shipping Cost ($)]]&gt;=700,"Expensive",Table1[[#This Row],[Shipping Cost ($)]]&gt;=500,"Economical","Low Cost")</f>
        <v>Low Cost</v>
      </c>
      <c r="I110" s="1" t="s">
        <v>24</v>
      </c>
    </row>
    <row r="111" spans="1:9" x14ac:dyDescent="0.3">
      <c r="A111" s="1" t="s">
        <v>134</v>
      </c>
      <c r="B111" s="2">
        <v>53</v>
      </c>
      <c r="C111" s="2" t="s">
        <v>21</v>
      </c>
      <c r="D111" s="2">
        <v>2000</v>
      </c>
      <c r="E111" s="2">
        <v>920</v>
      </c>
      <c r="F111" s="3">
        <f>Table1[[#This Row],[Defective Units]]/Table1[[#This Row],[Total Unit]]</f>
        <v>2.6499999999999999E-2</v>
      </c>
      <c r="G111" s="2" t="str">
        <f>_xlfn.SWITCH(TRUE(),ROUND(Table1[[#This Row],[Defect Rate]],2)&gt;=4%,"High Risk",ROUND(Table1[[#This Row],[Defect Rate]],2)&gt;=3%,"Medium Risk","Low Risk")</f>
        <v>Medium Risk</v>
      </c>
      <c r="H111" s="2" t="str">
        <f>_xlfn.SWITCH(TRUE(),Table1[[#This Row],[Shipping Cost ($)]]&gt;=700,"Expensive",Table1[[#This Row],[Shipping Cost ($)]]&gt;=500,"Economical","Low Cost")</f>
        <v>Expensive</v>
      </c>
      <c r="I111" s="1" t="s">
        <v>25</v>
      </c>
    </row>
    <row r="112" spans="1:9" x14ac:dyDescent="0.3">
      <c r="A112" s="1" t="s">
        <v>135</v>
      </c>
      <c r="B112" s="2">
        <v>54</v>
      </c>
      <c r="C112" s="1" t="s">
        <v>13</v>
      </c>
      <c r="D112" s="2">
        <v>2000</v>
      </c>
      <c r="E112" s="2">
        <v>190</v>
      </c>
      <c r="F112" s="3">
        <f>Table1[[#This Row],[Defective Units]]/Table1[[#This Row],[Total Unit]]</f>
        <v>2.7E-2</v>
      </c>
      <c r="G112" s="2" t="str">
        <f>_xlfn.SWITCH(TRUE(),ROUND(Table1[[#This Row],[Defect Rate]],2)&gt;=4%,"High Risk",ROUND(Table1[[#This Row],[Defect Rate]],2)&gt;=3%,"Medium Risk","Low Risk")</f>
        <v>Medium Risk</v>
      </c>
      <c r="H112" s="2" t="str">
        <f>_xlfn.SWITCH(TRUE(),Table1[[#This Row],[Shipping Cost ($)]]&gt;=700,"Expensive",Table1[[#This Row],[Shipping Cost ($)]]&gt;=500,"Economical","Low Cost")</f>
        <v>Low Cost</v>
      </c>
      <c r="I112" s="1" t="s">
        <v>24</v>
      </c>
    </row>
    <row r="113" spans="1:9" x14ac:dyDescent="0.3">
      <c r="A113" s="1" t="s">
        <v>136</v>
      </c>
      <c r="B113" s="2">
        <v>55</v>
      </c>
      <c r="C113" s="1" t="s">
        <v>14</v>
      </c>
      <c r="D113" s="2">
        <v>2000</v>
      </c>
      <c r="E113" s="2">
        <v>290</v>
      </c>
      <c r="F113" s="3">
        <f>Table1[[#This Row],[Defective Units]]/Table1[[#This Row],[Total Unit]]</f>
        <v>2.75E-2</v>
      </c>
      <c r="G113" s="2" t="str">
        <f>_xlfn.SWITCH(TRUE(),ROUND(Table1[[#This Row],[Defect Rate]],2)&gt;=4%,"High Risk",ROUND(Table1[[#This Row],[Defect Rate]],2)&gt;=3%,"Medium Risk","Low Risk")</f>
        <v>Medium Risk</v>
      </c>
      <c r="H113" s="2" t="str">
        <f>_xlfn.SWITCH(TRUE(),Table1[[#This Row],[Shipping Cost ($)]]&gt;=700,"Expensive",Table1[[#This Row],[Shipping Cost ($)]]&gt;=500,"Economical","Low Cost")</f>
        <v>Low Cost</v>
      </c>
      <c r="I113" s="1" t="s">
        <v>25</v>
      </c>
    </row>
    <row r="114" spans="1:9" x14ac:dyDescent="0.3">
      <c r="A114" s="1" t="s">
        <v>137</v>
      </c>
      <c r="B114" s="2">
        <v>56</v>
      </c>
      <c r="C114" s="1" t="s">
        <v>15</v>
      </c>
      <c r="D114" s="2">
        <v>2000</v>
      </c>
      <c r="E114" s="2">
        <v>610</v>
      </c>
      <c r="F114" s="3">
        <f>Table1[[#This Row],[Defective Units]]/Table1[[#This Row],[Total Unit]]</f>
        <v>2.8000000000000001E-2</v>
      </c>
      <c r="G114" s="2" t="str">
        <f>_xlfn.SWITCH(TRUE(),ROUND(Table1[[#This Row],[Defect Rate]],2)&gt;=4%,"High Risk",ROUND(Table1[[#This Row],[Defect Rate]],2)&gt;=3%,"Medium Risk","Low Risk")</f>
        <v>Medium Risk</v>
      </c>
      <c r="H114" s="2" t="str">
        <f>_xlfn.SWITCH(TRUE(),Table1[[#This Row],[Shipping Cost ($)]]&gt;=700,"Expensive",Table1[[#This Row],[Shipping Cost ($)]]&gt;=500,"Economical","Low Cost")</f>
        <v>Economical</v>
      </c>
      <c r="I114" s="1" t="s">
        <v>24</v>
      </c>
    </row>
    <row r="115" spans="1:9" x14ac:dyDescent="0.3">
      <c r="A115" s="1" t="s">
        <v>138</v>
      </c>
      <c r="B115" s="2">
        <v>57</v>
      </c>
      <c r="C115" s="1" t="s">
        <v>16</v>
      </c>
      <c r="D115" s="2">
        <v>2000</v>
      </c>
      <c r="E115" s="2">
        <v>120</v>
      </c>
      <c r="F115" s="3">
        <f>Table1[[#This Row],[Defective Units]]/Table1[[#This Row],[Total Unit]]</f>
        <v>2.8500000000000001E-2</v>
      </c>
      <c r="G115" s="2" t="str">
        <f>_xlfn.SWITCH(TRUE(),ROUND(Table1[[#This Row],[Defect Rate]],2)&gt;=4%,"High Risk",ROUND(Table1[[#This Row],[Defect Rate]],2)&gt;=3%,"Medium Risk","Low Risk")</f>
        <v>Medium Risk</v>
      </c>
      <c r="H115" s="2" t="str">
        <f>_xlfn.SWITCH(TRUE(),Table1[[#This Row],[Shipping Cost ($)]]&gt;=700,"Expensive",Table1[[#This Row],[Shipping Cost ($)]]&gt;=500,"Economical","Low Cost")</f>
        <v>Low Cost</v>
      </c>
      <c r="I115" s="1" t="s">
        <v>25</v>
      </c>
    </row>
    <row r="116" spans="1:9" x14ac:dyDescent="0.3">
      <c r="A116" s="1" t="s">
        <v>139</v>
      </c>
      <c r="B116" s="2">
        <v>58</v>
      </c>
      <c r="C116" s="1" t="s">
        <v>17</v>
      </c>
      <c r="D116" s="2">
        <v>2000</v>
      </c>
      <c r="E116" s="2">
        <v>480</v>
      </c>
      <c r="F116" s="3">
        <f>Table1[[#This Row],[Defective Units]]/Table1[[#This Row],[Total Unit]]</f>
        <v>2.9000000000000001E-2</v>
      </c>
      <c r="G116" s="2" t="str">
        <f>_xlfn.SWITCH(TRUE(),ROUND(Table1[[#This Row],[Defect Rate]],2)&gt;=4%,"High Risk",ROUND(Table1[[#This Row],[Defect Rate]],2)&gt;=3%,"Medium Risk","Low Risk")</f>
        <v>Medium Risk</v>
      </c>
      <c r="H116" s="2" t="str">
        <f>_xlfn.SWITCH(TRUE(),Table1[[#This Row],[Shipping Cost ($)]]&gt;=700,"Expensive",Table1[[#This Row],[Shipping Cost ($)]]&gt;=500,"Economical","Low Cost")</f>
        <v>Low Cost</v>
      </c>
      <c r="I116" s="1" t="s">
        <v>24</v>
      </c>
    </row>
    <row r="117" spans="1:9" x14ac:dyDescent="0.3">
      <c r="A117" s="1" t="s">
        <v>140</v>
      </c>
      <c r="B117" s="2">
        <v>59</v>
      </c>
      <c r="C117" s="2" t="s">
        <v>20</v>
      </c>
      <c r="D117" s="2">
        <v>2000</v>
      </c>
      <c r="E117" s="2">
        <v>150</v>
      </c>
      <c r="F117" s="3">
        <f>Table1[[#This Row],[Defective Units]]/Table1[[#This Row],[Total Unit]]</f>
        <v>2.9499999999999998E-2</v>
      </c>
      <c r="G117" s="2" t="str">
        <f>_xlfn.SWITCH(TRUE(),ROUND(Table1[[#This Row],[Defect Rate]],2)&gt;=4%,"High Risk",ROUND(Table1[[#This Row],[Defect Rate]],2)&gt;=3%,"Medium Risk","Low Risk")</f>
        <v>Medium Risk</v>
      </c>
      <c r="H117" s="2" t="str">
        <f>_xlfn.SWITCH(TRUE(),Table1[[#This Row],[Shipping Cost ($)]]&gt;=700,"Expensive",Table1[[#This Row],[Shipping Cost ($)]]&gt;=500,"Economical","Low Cost")</f>
        <v>Low Cost</v>
      </c>
      <c r="I117" s="1" t="s">
        <v>25</v>
      </c>
    </row>
    <row r="118" spans="1:9" x14ac:dyDescent="0.3">
      <c r="A118" s="1" t="s">
        <v>141</v>
      </c>
      <c r="B118" s="2">
        <v>60</v>
      </c>
      <c r="C118" s="2" t="s">
        <v>18</v>
      </c>
      <c r="D118" s="2">
        <v>2000</v>
      </c>
      <c r="E118" s="2">
        <v>720</v>
      </c>
      <c r="F118" s="3">
        <f>Table1[[#This Row],[Defective Units]]/Table1[[#This Row],[Total Unit]]</f>
        <v>0.03</v>
      </c>
      <c r="G118" s="2" t="str">
        <f>_xlfn.SWITCH(TRUE(),ROUND(Table1[[#This Row],[Defect Rate]],2)&gt;=4%,"High Risk",ROUND(Table1[[#This Row],[Defect Rate]],2)&gt;=3%,"Medium Risk","Low Risk")</f>
        <v>Medium Risk</v>
      </c>
      <c r="H118" s="2" t="str">
        <f>_xlfn.SWITCH(TRUE(),Table1[[#This Row],[Shipping Cost ($)]]&gt;=700,"Expensive",Table1[[#This Row],[Shipping Cost ($)]]&gt;=500,"Economical","Low Cost")</f>
        <v>Expensive</v>
      </c>
      <c r="I118" s="1" t="s">
        <v>24</v>
      </c>
    </row>
    <row r="119" spans="1:9" x14ac:dyDescent="0.3">
      <c r="A119" s="1" t="s">
        <v>142</v>
      </c>
      <c r="B119" s="2">
        <v>61</v>
      </c>
      <c r="C119" s="2" t="s">
        <v>19</v>
      </c>
      <c r="D119" s="2">
        <v>2000</v>
      </c>
      <c r="E119" s="2">
        <v>880</v>
      </c>
      <c r="F119" s="3">
        <f>Table1[[#This Row],[Defective Units]]/Table1[[#This Row],[Total Unit]]</f>
        <v>3.0499999999999999E-2</v>
      </c>
      <c r="G119" s="2" t="str">
        <f>_xlfn.SWITCH(TRUE(),ROUND(Table1[[#This Row],[Defect Rate]],2)&gt;=4%,"High Risk",ROUND(Table1[[#This Row],[Defect Rate]],2)&gt;=3%,"Medium Risk","Low Risk")</f>
        <v>Medium Risk</v>
      </c>
      <c r="H119" s="2" t="str">
        <f>_xlfn.SWITCH(TRUE(),Table1[[#This Row],[Shipping Cost ($)]]&gt;=700,"Expensive",Table1[[#This Row],[Shipping Cost ($)]]&gt;=500,"Economical","Low Cost")</f>
        <v>Expensive</v>
      </c>
      <c r="I119" s="1" t="s">
        <v>25</v>
      </c>
    </row>
    <row r="120" spans="1:9" x14ac:dyDescent="0.3">
      <c r="A120" s="1" t="s">
        <v>143</v>
      </c>
      <c r="B120" s="2">
        <v>62</v>
      </c>
      <c r="C120" s="2" t="s">
        <v>21</v>
      </c>
      <c r="D120" s="2">
        <v>2000</v>
      </c>
      <c r="E120" s="2">
        <v>105</v>
      </c>
      <c r="F120" s="3">
        <f>Table1[[#This Row],[Defective Units]]/Table1[[#This Row],[Total Unit]]</f>
        <v>3.1E-2</v>
      </c>
      <c r="G120" s="2" t="str">
        <f>_xlfn.SWITCH(TRUE(),ROUND(Table1[[#This Row],[Defect Rate]],2)&gt;=4%,"High Risk",ROUND(Table1[[#This Row],[Defect Rate]],2)&gt;=3%,"Medium Risk","Low Risk")</f>
        <v>Medium Risk</v>
      </c>
      <c r="H120" s="2" t="str">
        <f>_xlfn.SWITCH(TRUE(),Table1[[#This Row],[Shipping Cost ($)]]&gt;=700,"Expensive",Table1[[#This Row],[Shipping Cost ($)]]&gt;=500,"Economical","Low Cost")</f>
        <v>Low Cost</v>
      </c>
      <c r="I120" s="1" t="s">
        <v>24</v>
      </c>
    </row>
    <row r="121" spans="1:9" x14ac:dyDescent="0.3">
      <c r="A121" s="1" t="s">
        <v>144</v>
      </c>
      <c r="B121" s="2">
        <v>63</v>
      </c>
      <c r="C121" s="1" t="s">
        <v>13</v>
      </c>
      <c r="D121" s="2">
        <v>2000</v>
      </c>
      <c r="E121" s="2">
        <v>550</v>
      </c>
      <c r="F121" s="3">
        <f>Table1[[#This Row],[Defective Units]]/Table1[[#This Row],[Total Unit]]</f>
        <v>3.15E-2</v>
      </c>
      <c r="G121" s="2" t="str">
        <f>_xlfn.SWITCH(TRUE(),ROUND(Table1[[#This Row],[Defect Rate]],2)&gt;=4%,"High Risk",ROUND(Table1[[#This Row],[Defect Rate]],2)&gt;=3%,"Medium Risk","Low Risk")</f>
        <v>Medium Risk</v>
      </c>
      <c r="H121" s="2" t="str">
        <f>_xlfn.SWITCH(TRUE(),Table1[[#This Row],[Shipping Cost ($)]]&gt;=700,"Expensive",Table1[[#This Row],[Shipping Cost ($)]]&gt;=500,"Economical","Low Cost")</f>
        <v>Economical</v>
      </c>
      <c r="I121" s="1" t="s">
        <v>25</v>
      </c>
    </row>
    <row r="122" spans="1:9" x14ac:dyDescent="0.3">
      <c r="A122" s="1" t="s">
        <v>145</v>
      </c>
      <c r="B122" s="2">
        <v>64</v>
      </c>
      <c r="C122" s="1" t="s">
        <v>14</v>
      </c>
      <c r="D122" s="2">
        <v>2000</v>
      </c>
      <c r="E122" s="2">
        <v>145</v>
      </c>
      <c r="F122" s="3">
        <f>Table1[[#This Row],[Defective Units]]/Table1[[#This Row],[Total Unit]]</f>
        <v>3.2000000000000001E-2</v>
      </c>
      <c r="G122" s="2" t="str">
        <f>_xlfn.SWITCH(TRUE(),ROUND(Table1[[#This Row],[Defect Rate]],2)&gt;=4%,"High Risk",ROUND(Table1[[#This Row],[Defect Rate]],2)&gt;=3%,"Medium Risk","Low Risk")</f>
        <v>Medium Risk</v>
      </c>
      <c r="H122" s="2" t="str">
        <f>_xlfn.SWITCH(TRUE(),Table1[[#This Row],[Shipping Cost ($)]]&gt;=700,"Expensive",Table1[[#This Row],[Shipping Cost ($)]]&gt;=500,"Economical","Low Cost")</f>
        <v>Low Cost</v>
      </c>
      <c r="I122" s="1" t="s">
        <v>24</v>
      </c>
    </row>
    <row r="123" spans="1:9" x14ac:dyDescent="0.3">
      <c r="A123" s="1" t="s">
        <v>146</v>
      </c>
      <c r="B123" s="2">
        <v>65</v>
      </c>
      <c r="C123" s="1" t="s">
        <v>15</v>
      </c>
      <c r="D123" s="2">
        <v>2000</v>
      </c>
      <c r="E123" s="2">
        <v>300</v>
      </c>
      <c r="F123" s="3">
        <f>Table1[[#This Row],[Defective Units]]/Table1[[#This Row],[Total Unit]]</f>
        <v>3.2500000000000001E-2</v>
      </c>
      <c r="G123" s="2" t="str">
        <f>_xlfn.SWITCH(TRUE(),ROUND(Table1[[#This Row],[Defect Rate]],2)&gt;=4%,"High Risk",ROUND(Table1[[#This Row],[Defect Rate]],2)&gt;=3%,"Medium Risk","Low Risk")</f>
        <v>Medium Risk</v>
      </c>
      <c r="H123" s="2" t="str">
        <f>_xlfn.SWITCH(TRUE(),Table1[[#This Row],[Shipping Cost ($)]]&gt;=700,"Expensive",Table1[[#This Row],[Shipping Cost ($)]]&gt;=500,"Economical","Low Cost")</f>
        <v>Low Cost</v>
      </c>
      <c r="I123" s="1" t="s">
        <v>25</v>
      </c>
    </row>
    <row r="124" spans="1:9" x14ac:dyDescent="0.3">
      <c r="A124" s="1" t="s">
        <v>147</v>
      </c>
      <c r="B124" s="2">
        <v>66</v>
      </c>
      <c r="C124" s="1" t="s">
        <v>16</v>
      </c>
      <c r="D124" s="2">
        <v>2000</v>
      </c>
      <c r="E124" s="2">
        <v>65</v>
      </c>
      <c r="F124" s="3">
        <f>Table1[[#This Row],[Defective Units]]/Table1[[#This Row],[Total Unit]]</f>
        <v>3.3000000000000002E-2</v>
      </c>
      <c r="G124" s="2" t="str">
        <f>_xlfn.SWITCH(TRUE(),ROUND(Table1[[#This Row],[Defect Rate]],2)&gt;=4%,"High Risk",ROUND(Table1[[#This Row],[Defect Rate]],2)&gt;=3%,"Medium Risk","Low Risk")</f>
        <v>Medium Risk</v>
      </c>
      <c r="H124" s="2" t="str">
        <f>_xlfn.SWITCH(TRUE(),Table1[[#This Row],[Shipping Cost ($)]]&gt;=700,"Expensive",Table1[[#This Row],[Shipping Cost ($)]]&gt;=500,"Economical","Low Cost")</f>
        <v>Low Cost</v>
      </c>
      <c r="I124" s="1" t="s">
        <v>24</v>
      </c>
    </row>
    <row r="125" spans="1:9" x14ac:dyDescent="0.3">
      <c r="A125" s="1" t="s">
        <v>148</v>
      </c>
      <c r="B125" s="2">
        <v>67</v>
      </c>
      <c r="C125" s="1" t="s">
        <v>17</v>
      </c>
      <c r="D125" s="2">
        <v>2000</v>
      </c>
      <c r="E125" s="2">
        <v>740</v>
      </c>
      <c r="F125" s="3">
        <f>Table1[[#This Row],[Defective Units]]/Table1[[#This Row],[Total Unit]]</f>
        <v>3.3500000000000002E-2</v>
      </c>
      <c r="G125" s="2" t="str">
        <f>_xlfn.SWITCH(TRUE(),ROUND(Table1[[#This Row],[Defect Rate]],2)&gt;=4%,"High Risk",ROUND(Table1[[#This Row],[Defect Rate]],2)&gt;=3%,"Medium Risk","Low Risk")</f>
        <v>Medium Risk</v>
      </c>
      <c r="H125" s="2" t="str">
        <f>_xlfn.SWITCH(TRUE(),Table1[[#This Row],[Shipping Cost ($)]]&gt;=700,"Expensive",Table1[[#This Row],[Shipping Cost ($)]]&gt;=500,"Economical","Low Cost")</f>
        <v>Expensive</v>
      </c>
      <c r="I125" s="1" t="s">
        <v>25</v>
      </c>
    </row>
    <row r="126" spans="1:9" x14ac:dyDescent="0.3">
      <c r="A126" s="1" t="s">
        <v>149</v>
      </c>
      <c r="B126" s="2">
        <v>68</v>
      </c>
      <c r="C126" s="2" t="s">
        <v>20</v>
      </c>
      <c r="D126" s="2">
        <v>2000</v>
      </c>
      <c r="E126" s="2">
        <v>210</v>
      </c>
      <c r="F126" s="3">
        <f>Table1[[#This Row],[Defective Units]]/Table1[[#This Row],[Total Unit]]</f>
        <v>3.4000000000000002E-2</v>
      </c>
      <c r="G126" s="2" t="str">
        <f>_xlfn.SWITCH(TRUE(),ROUND(Table1[[#This Row],[Defect Rate]],2)&gt;=4%,"High Risk",ROUND(Table1[[#This Row],[Defect Rate]],2)&gt;=3%,"Medium Risk","Low Risk")</f>
        <v>Medium Risk</v>
      </c>
      <c r="H126" s="2" t="str">
        <f>_xlfn.SWITCH(TRUE(),Table1[[#This Row],[Shipping Cost ($)]]&gt;=700,"Expensive",Table1[[#This Row],[Shipping Cost ($)]]&gt;=500,"Economical","Low Cost")</f>
        <v>Low Cost</v>
      </c>
      <c r="I126" s="1" t="s">
        <v>24</v>
      </c>
    </row>
    <row r="127" spans="1:9" x14ac:dyDescent="0.3">
      <c r="A127" s="1" t="s">
        <v>150</v>
      </c>
      <c r="B127" s="2">
        <v>69</v>
      </c>
      <c r="C127" s="2" t="s">
        <v>18</v>
      </c>
      <c r="D127" s="2">
        <v>2000</v>
      </c>
      <c r="E127" s="2">
        <v>430</v>
      </c>
      <c r="F127" s="3">
        <f>Table1[[#This Row],[Defective Units]]/Table1[[#This Row],[Total Unit]]</f>
        <v>3.4500000000000003E-2</v>
      </c>
      <c r="G127" s="2" t="str">
        <f>_xlfn.SWITCH(TRUE(),ROUND(Table1[[#This Row],[Defect Rate]],2)&gt;=4%,"High Risk",ROUND(Table1[[#This Row],[Defect Rate]],2)&gt;=3%,"Medium Risk","Low Risk")</f>
        <v>Medium Risk</v>
      </c>
      <c r="H127" s="2" t="str">
        <f>_xlfn.SWITCH(TRUE(),Table1[[#This Row],[Shipping Cost ($)]]&gt;=700,"Expensive",Table1[[#This Row],[Shipping Cost ($)]]&gt;=500,"Economical","Low Cost")</f>
        <v>Low Cost</v>
      </c>
      <c r="I127" s="1" t="s">
        <v>25</v>
      </c>
    </row>
    <row r="128" spans="1:9" x14ac:dyDescent="0.3">
      <c r="A128" s="1" t="s">
        <v>151</v>
      </c>
      <c r="B128" s="2">
        <v>38</v>
      </c>
      <c r="C128" s="2" t="s">
        <v>19</v>
      </c>
      <c r="D128" s="2">
        <v>2000</v>
      </c>
      <c r="E128" s="2">
        <v>125</v>
      </c>
      <c r="F128" s="3">
        <f>Table1[[#This Row],[Defective Units]]/Table1[[#This Row],[Total Unit]]</f>
        <v>1.9E-2</v>
      </c>
      <c r="G128" s="2" t="str">
        <f>_xlfn.SWITCH(TRUE(),ROUND(Table1[[#This Row],[Defect Rate]],2)&gt;=4%,"High Risk",ROUND(Table1[[#This Row],[Defect Rate]],2)&gt;=3%,"Medium Risk","Low Risk")</f>
        <v>Low Risk</v>
      </c>
      <c r="H128" s="2" t="str">
        <f>_xlfn.SWITCH(TRUE(),Table1[[#This Row],[Shipping Cost ($)]]&gt;=700,"Expensive",Table1[[#This Row],[Shipping Cost ($)]]&gt;=500,"Economical","Low Cost")</f>
        <v>Low Cost</v>
      </c>
      <c r="I128" s="1" t="s">
        <v>24</v>
      </c>
    </row>
    <row r="129" spans="1:9" x14ac:dyDescent="0.3">
      <c r="A129" s="1" t="s">
        <v>152</v>
      </c>
      <c r="B129" s="2">
        <v>39</v>
      </c>
      <c r="C129" s="2" t="s">
        <v>21</v>
      </c>
      <c r="D129" s="2">
        <v>2000</v>
      </c>
      <c r="E129" s="2">
        <v>680</v>
      </c>
      <c r="F129" s="3">
        <f>Table1[[#This Row],[Defective Units]]/Table1[[#This Row],[Total Unit]]</f>
        <v>1.95E-2</v>
      </c>
      <c r="G129" s="2" t="str">
        <f>_xlfn.SWITCH(TRUE(),ROUND(Table1[[#This Row],[Defect Rate]],2)&gt;=4%,"High Risk",ROUND(Table1[[#This Row],[Defect Rate]],2)&gt;=3%,"Medium Risk","Low Risk")</f>
        <v>Low Risk</v>
      </c>
      <c r="H129" s="2" t="str">
        <f>_xlfn.SWITCH(TRUE(),Table1[[#This Row],[Shipping Cost ($)]]&gt;=700,"Expensive",Table1[[#This Row],[Shipping Cost ($)]]&gt;=500,"Economical","Low Cost")</f>
        <v>Economical</v>
      </c>
      <c r="I129" s="1" t="s">
        <v>25</v>
      </c>
    </row>
    <row r="130" spans="1:9" x14ac:dyDescent="0.3">
      <c r="A130" s="1" t="s">
        <v>153</v>
      </c>
      <c r="B130" s="2">
        <v>40</v>
      </c>
      <c r="C130" s="1" t="s">
        <v>13</v>
      </c>
      <c r="D130" s="2">
        <v>2000</v>
      </c>
      <c r="E130" s="2">
        <v>250</v>
      </c>
      <c r="F130" s="3">
        <f>Table1[[#This Row],[Defective Units]]/Table1[[#This Row],[Total Unit]]</f>
        <v>0.02</v>
      </c>
      <c r="G130" s="2" t="str">
        <f>_xlfn.SWITCH(TRUE(),ROUND(Table1[[#This Row],[Defect Rate]],2)&gt;=4%,"High Risk",ROUND(Table1[[#This Row],[Defect Rate]],2)&gt;=3%,"Medium Risk","Low Risk")</f>
        <v>Low Risk</v>
      </c>
      <c r="H130" s="2" t="str">
        <f>_xlfn.SWITCH(TRUE(),Table1[[#This Row],[Shipping Cost ($)]]&gt;=700,"Expensive",Table1[[#This Row],[Shipping Cost ($)]]&gt;=500,"Economical","Low Cost")</f>
        <v>Low Cost</v>
      </c>
      <c r="I130" s="1" t="s">
        <v>24</v>
      </c>
    </row>
    <row r="131" spans="1:9" x14ac:dyDescent="0.3">
      <c r="A131" s="1" t="s">
        <v>154</v>
      </c>
      <c r="B131" s="2">
        <v>41</v>
      </c>
      <c r="C131" s="1" t="s">
        <v>14</v>
      </c>
      <c r="D131" s="2">
        <v>2000</v>
      </c>
      <c r="E131" s="2">
        <v>890</v>
      </c>
      <c r="F131" s="3">
        <f>Table1[[#This Row],[Defective Units]]/Table1[[#This Row],[Total Unit]]</f>
        <v>2.0500000000000001E-2</v>
      </c>
      <c r="G131" s="2" t="str">
        <f>_xlfn.SWITCH(TRUE(),ROUND(Table1[[#This Row],[Defect Rate]],2)&gt;=4%,"High Risk",ROUND(Table1[[#This Row],[Defect Rate]],2)&gt;=3%,"Medium Risk","Low Risk")</f>
        <v>Low Risk</v>
      </c>
      <c r="H131" s="2" t="str">
        <f>_xlfn.SWITCH(TRUE(),Table1[[#This Row],[Shipping Cost ($)]]&gt;=700,"Expensive",Table1[[#This Row],[Shipping Cost ($)]]&gt;=500,"Economical","Low Cost")</f>
        <v>Expensive</v>
      </c>
      <c r="I131" s="1" t="s">
        <v>25</v>
      </c>
    </row>
    <row r="132" spans="1:9" x14ac:dyDescent="0.3">
      <c r="A132" s="1" t="s">
        <v>155</v>
      </c>
      <c r="B132" s="2">
        <v>42</v>
      </c>
      <c r="C132" s="1" t="s">
        <v>15</v>
      </c>
      <c r="D132" s="2">
        <v>2000</v>
      </c>
      <c r="E132" s="2">
        <v>340</v>
      </c>
      <c r="F132" s="3">
        <f>Table1[[#This Row],[Defective Units]]/Table1[[#This Row],[Total Unit]]</f>
        <v>2.1000000000000001E-2</v>
      </c>
      <c r="G132" s="2" t="str">
        <f>_xlfn.SWITCH(TRUE(),ROUND(Table1[[#This Row],[Defect Rate]],2)&gt;=4%,"High Risk",ROUND(Table1[[#This Row],[Defect Rate]],2)&gt;=3%,"Medium Risk","Low Risk")</f>
        <v>Low Risk</v>
      </c>
      <c r="H132" s="2" t="str">
        <f>_xlfn.SWITCH(TRUE(),Table1[[#This Row],[Shipping Cost ($)]]&gt;=700,"Expensive",Table1[[#This Row],[Shipping Cost ($)]]&gt;=500,"Economical","Low Cost")</f>
        <v>Low Cost</v>
      </c>
      <c r="I132" s="1" t="s">
        <v>24</v>
      </c>
    </row>
    <row r="133" spans="1:9" x14ac:dyDescent="0.3">
      <c r="A133" s="1" t="s">
        <v>156</v>
      </c>
      <c r="B133" s="2">
        <v>43</v>
      </c>
      <c r="C133" s="1" t="s">
        <v>16</v>
      </c>
      <c r="D133" s="2">
        <v>2000</v>
      </c>
      <c r="E133" s="2">
        <v>275</v>
      </c>
      <c r="F133" s="3">
        <f>Table1[[#This Row],[Defective Units]]/Table1[[#This Row],[Total Unit]]</f>
        <v>2.1499999999999998E-2</v>
      </c>
      <c r="G133" s="2" t="str">
        <f>_xlfn.SWITCH(TRUE(),ROUND(Table1[[#This Row],[Defect Rate]],2)&gt;=4%,"High Risk",ROUND(Table1[[#This Row],[Defect Rate]],2)&gt;=3%,"Medium Risk","Low Risk")</f>
        <v>Low Risk</v>
      </c>
      <c r="H133" s="2" t="str">
        <f>_xlfn.SWITCH(TRUE(),Table1[[#This Row],[Shipping Cost ($)]]&gt;=700,"Expensive",Table1[[#This Row],[Shipping Cost ($)]]&gt;=500,"Economical","Low Cost")</f>
        <v>Low Cost</v>
      </c>
      <c r="I133" s="1" t="s">
        <v>25</v>
      </c>
    </row>
    <row r="134" spans="1:9" x14ac:dyDescent="0.3">
      <c r="A134" s="1" t="s">
        <v>157</v>
      </c>
      <c r="B134" s="2">
        <v>44</v>
      </c>
      <c r="C134" s="1" t="s">
        <v>17</v>
      </c>
      <c r="D134" s="2">
        <v>2000</v>
      </c>
      <c r="E134" s="2">
        <v>600</v>
      </c>
      <c r="F134" s="3">
        <f>Table1[[#This Row],[Defective Units]]/Table1[[#This Row],[Total Unit]]</f>
        <v>2.1999999999999999E-2</v>
      </c>
      <c r="G134" s="2" t="str">
        <f>_xlfn.SWITCH(TRUE(),ROUND(Table1[[#This Row],[Defect Rate]],2)&gt;=4%,"High Risk",ROUND(Table1[[#This Row],[Defect Rate]],2)&gt;=3%,"Medium Risk","Low Risk")</f>
        <v>Low Risk</v>
      </c>
      <c r="H134" s="2" t="str">
        <f>_xlfn.SWITCH(TRUE(),Table1[[#This Row],[Shipping Cost ($)]]&gt;=700,"Expensive",Table1[[#This Row],[Shipping Cost ($)]]&gt;=500,"Economical","Low Cost")</f>
        <v>Economical</v>
      </c>
      <c r="I134" s="1" t="s">
        <v>24</v>
      </c>
    </row>
    <row r="135" spans="1:9" x14ac:dyDescent="0.3">
      <c r="A135" s="1" t="s">
        <v>158</v>
      </c>
      <c r="B135" s="2">
        <v>45</v>
      </c>
      <c r="C135" s="2" t="s">
        <v>20</v>
      </c>
      <c r="D135" s="2">
        <v>2000</v>
      </c>
      <c r="E135" s="2">
        <v>115</v>
      </c>
      <c r="F135" s="3">
        <f>Table1[[#This Row],[Defective Units]]/Table1[[#This Row],[Total Unit]]</f>
        <v>2.2499999999999999E-2</v>
      </c>
      <c r="G135" s="2" t="str">
        <f>_xlfn.SWITCH(TRUE(),ROUND(Table1[[#This Row],[Defect Rate]],2)&gt;=4%,"High Risk",ROUND(Table1[[#This Row],[Defect Rate]],2)&gt;=3%,"Medium Risk","Low Risk")</f>
        <v>Low Risk</v>
      </c>
      <c r="H135" s="2" t="str">
        <f>_xlfn.SWITCH(TRUE(),Table1[[#This Row],[Shipping Cost ($)]]&gt;=700,"Expensive",Table1[[#This Row],[Shipping Cost ($)]]&gt;=500,"Economical","Low Cost")</f>
        <v>Low Cost</v>
      </c>
      <c r="I135" s="1" t="s">
        <v>25</v>
      </c>
    </row>
    <row r="136" spans="1:9" x14ac:dyDescent="0.3">
      <c r="A136" s="1" t="s">
        <v>159</v>
      </c>
      <c r="B136" s="2">
        <v>46</v>
      </c>
      <c r="C136" s="2" t="s">
        <v>18</v>
      </c>
      <c r="D136" s="2">
        <v>2000</v>
      </c>
      <c r="E136" s="2">
        <v>920</v>
      </c>
      <c r="F136" s="3">
        <f>Table1[[#This Row],[Defective Units]]/Table1[[#This Row],[Total Unit]]</f>
        <v>2.3E-2</v>
      </c>
      <c r="G136" s="2" t="str">
        <f>_xlfn.SWITCH(TRUE(),ROUND(Table1[[#This Row],[Defect Rate]],2)&gt;=4%,"High Risk",ROUND(Table1[[#This Row],[Defect Rate]],2)&gt;=3%,"Medium Risk","Low Risk")</f>
        <v>Low Risk</v>
      </c>
      <c r="H136" s="2" t="str">
        <f>_xlfn.SWITCH(TRUE(),Table1[[#This Row],[Shipping Cost ($)]]&gt;=700,"Expensive",Table1[[#This Row],[Shipping Cost ($)]]&gt;=500,"Economical","Low Cost")</f>
        <v>Expensive</v>
      </c>
      <c r="I136" s="1" t="s">
        <v>24</v>
      </c>
    </row>
    <row r="137" spans="1:9" x14ac:dyDescent="0.3">
      <c r="A137" s="1" t="s">
        <v>160</v>
      </c>
      <c r="B137" s="2">
        <v>47</v>
      </c>
      <c r="C137" s="2" t="s">
        <v>19</v>
      </c>
      <c r="D137" s="2">
        <v>2000</v>
      </c>
      <c r="E137" s="2">
        <v>190</v>
      </c>
      <c r="F137" s="3">
        <f>Table1[[#This Row],[Defective Units]]/Table1[[#This Row],[Total Unit]]</f>
        <v>2.35E-2</v>
      </c>
      <c r="G137" s="2" t="str">
        <f>_xlfn.SWITCH(TRUE(),ROUND(Table1[[#This Row],[Defect Rate]],2)&gt;=4%,"High Risk",ROUND(Table1[[#This Row],[Defect Rate]],2)&gt;=3%,"Medium Risk","Low Risk")</f>
        <v>Low Risk</v>
      </c>
      <c r="H137" s="2" t="str">
        <f>_xlfn.SWITCH(TRUE(),Table1[[#This Row],[Shipping Cost ($)]]&gt;=700,"Expensive",Table1[[#This Row],[Shipping Cost ($)]]&gt;=500,"Economical","Low Cost")</f>
        <v>Low Cost</v>
      </c>
      <c r="I137" s="1" t="s">
        <v>25</v>
      </c>
    </row>
    <row r="138" spans="1:9" x14ac:dyDescent="0.3">
      <c r="A138" s="1" t="s">
        <v>161</v>
      </c>
      <c r="B138" s="2">
        <v>48</v>
      </c>
      <c r="C138" s="2" t="s">
        <v>21</v>
      </c>
      <c r="D138" s="2">
        <v>2000</v>
      </c>
      <c r="E138" s="2">
        <v>290</v>
      </c>
      <c r="F138" s="3">
        <f>Table1[[#This Row],[Defective Units]]/Table1[[#This Row],[Total Unit]]</f>
        <v>2.4E-2</v>
      </c>
      <c r="G138" s="2" t="str">
        <f>_xlfn.SWITCH(TRUE(),ROUND(Table1[[#This Row],[Defect Rate]],2)&gt;=4%,"High Risk",ROUND(Table1[[#This Row],[Defect Rate]],2)&gt;=3%,"Medium Risk","Low Risk")</f>
        <v>Low Risk</v>
      </c>
      <c r="H138" s="2" t="str">
        <f>_xlfn.SWITCH(TRUE(),Table1[[#This Row],[Shipping Cost ($)]]&gt;=700,"Expensive",Table1[[#This Row],[Shipping Cost ($)]]&gt;=500,"Economical","Low Cost")</f>
        <v>Low Cost</v>
      </c>
      <c r="I138" s="1" t="s">
        <v>24</v>
      </c>
    </row>
    <row r="139" spans="1:9" x14ac:dyDescent="0.3">
      <c r="A139" s="1" t="s">
        <v>162</v>
      </c>
      <c r="B139" s="2">
        <v>49</v>
      </c>
      <c r="C139" s="1" t="s">
        <v>13</v>
      </c>
      <c r="D139" s="2">
        <v>2000</v>
      </c>
      <c r="E139" s="2">
        <v>610</v>
      </c>
      <c r="F139" s="3">
        <f>Table1[[#This Row],[Defective Units]]/Table1[[#This Row],[Total Unit]]</f>
        <v>2.4500000000000001E-2</v>
      </c>
      <c r="G139" s="2" t="str">
        <f>_xlfn.SWITCH(TRUE(),ROUND(Table1[[#This Row],[Defect Rate]],2)&gt;=4%,"High Risk",ROUND(Table1[[#This Row],[Defect Rate]],2)&gt;=3%,"Medium Risk","Low Risk")</f>
        <v>Low Risk</v>
      </c>
      <c r="H139" s="2" t="str">
        <f>_xlfn.SWITCH(TRUE(),Table1[[#This Row],[Shipping Cost ($)]]&gt;=700,"Expensive",Table1[[#This Row],[Shipping Cost ($)]]&gt;=500,"Economical","Low Cost")</f>
        <v>Economical</v>
      </c>
      <c r="I139" s="1" t="s">
        <v>25</v>
      </c>
    </row>
    <row r="140" spans="1:9" x14ac:dyDescent="0.3">
      <c r="A140" s="1" t="s">
        <v>163</v>
      </c>
      <c r="B140" s="2">
        <v>50</v>
      </c>
      <c r="C140" s="1" t="s">
        <v>14</v>
      </c>
      <c r="D140" s="2">
        <v>2000</v>
      </c>
      <c r="E140" s="2">
        <v>120</v>
      </c>
      <c r="F140" s="3">
        <f>Table1[[#This Row],[Defective Units]]/Table1[[#This Row],[Total Unit]]</f>
        <v>2.5000000000000001E-2</v>
      </c>
      <c r="G140" s="2" t="str">
        <f>_xlfn.SWITCH(TRUE(),ROUND(Table1[[#This Row],[Defect Rate]],2)&gt;=4%,"High Risk",ROUND(Table1[[#This Row],[Defect Rate]],2)&gt;=3%,"Medium Risk","Low Risk")</f>
        <v>Medium Risk</v>
      </c>
      <c r="H140" s="2" t="str">
        <f>_xlfn.SWITCH(TRUE(),Table1[[#This Row],[Shipping Cost ($)]]&gt;=700,"Expensive",Table1[[#This Row],[Shipping Cost ($)]]&gt;=500,"Economical","Low Cost")</f>
        <v>Low Cost</v>
      </c>
      <c r="I140" s="1" t="s">
        <v>24</v>
      </c>
    </row>
    <row r="141" spans="1:9" x14ac:dyDescent="0.3">
      <c r="A141" s="1" t="s">
        <v>164</v>
      </c>
      <c r="B141" s="2">
        <v>51</v>
      </c>
      <c r="C141" s="1" t="s">
        <v>15</v>
      </c>
      <c r="D141" s="2">
        <v>2000</v>
      </c>
      <c r="E141" s="2">
        <v>480</v>
      </c>
      <c r="F141" s="3">
        <f>Table1[[#This Row],[Defective Units]]/Table1[[#This Row],[Total Unit]]</f>
        <v>2.5499999999999998E-2</v>
      </c>
      <c r="G141" s="2" t="str">
        <f>_xlfn.SWITCH(TRUE(),ROUND(Table1[[#This Row],[Defect Rate]],2)&gt;=4%,"High Risk",ROUND(Table1[[#This Row],[Defect Rate]],2)&gt;=3%,"Medium Risk","Low Risk")</f>
        <v>Medium Risk</v>
      </c>
      <c r="H141" s="2" t="str">
        <f>_xlfn.SWITCH(TRUE(),Table1[[#This Row],[Shipping Cost ($)]]&gt;=700,"Expensive",Table1[[#This Row],[Shipping Cost ($)]]&gt;=500,"Economical","Low Cost")</f>
        <v>Low Cost</v>
      </c>
      <c r="I141" s="1" t="s">
        <v>25</v>
      </c>
    </row>
    <row r="142" spans="1:9" x14ac:dyDescent="0.3">
      <c r="A142" s="1" t="s">
        <v>165</v>
      </c>
      <c r="B142" s="2">
        <v>52</v>
      </c>
      <c r="C142" s="1" t="s">
        <v>16</v>
      </c>
      <c r="D142" s="2">
        <v>2000</v>
      </c>
      <c r="E142" s="2">
        <v>150</v>
      </c>
      <c r="F142" s="3">
        <f>Table1[[#This Row],[Defective Units]]/Table1[[#This Row],[Total Unit]]</f>
        <v>2.5999999999999999E-2</v>
      </c>
      <c r="G142" s="2" t="str">
        <f>_xlfn.SWITCH(TRUE(),ROUND(Table1[[#This Row],[Defect Rate]],2)&gt;=4%,"High Risk",ROUND(Table1[[#This Row],[Defect Rate]],2)&gt;=3%,"Medium Risk","Low Risk")</f>
        <v>Medium Risk</v>
      </c>
      <c r="H142" s="2" t="str">
        <f>_xlfn.SWITCH(TRUE(),Table1[[#This Row],[Shipping Cost ($)]]&gt;=700,"Expensive",Table1[[#This Row],[Shipping Cost ($)]]&gt;=500,"Economical","Low Cost")</f>
        <v>Low Cost</v>
      </c>
      <c r="I142" s="1" t="s">
        <v>24</v>
      </c>
    </row>
    <row r="143" spans="1:9" x14ac:dyDescent="0.3">
      <c r="A143" s="1" t="s">
        <v>166</v>
      </c>
      <c r="B143" s="2">
        <v>53</v>
      </c>
      <c r="C143" s="1" t="s">
        <v>17</v>
      </c>
      <c r="D143" s="2">
        <v>2000</v>
      </c>
      <c r="E143" s="2">
        <v>720</v>
      </c>
      <c r="F143" s="3">
        <f>Table1[[#This Row],[Defective Units]]/Table1[[#This Row],[Total Unit]]</f>
        <v>2.6499999999999999E-2</v>
      </c>
      <c r="G143" s="2" t="str">
        <f>_xlfn.SWITCH(TRUE(),ROUND(Table1[[#This Row],[Defect Rate]],2)&gt;=4%,"High Risk",ROUND(Table1[[#This Row],[Defect Rate]],2)&gt;=3%,"Medium Risk","Low Risk")</f>
        <v>Medium Risk</v>
      </c>
      <c r="H143" s="2" t="str">
        <f>_xlfn.SWITCH(TRUE(),Table1[[#This Row],[Shipping Cost ($)]]&gt;=700,"Expensive",Table1[[#This Row],[Shipping Cost ($)]]&gt;=500,"Economical","Low Cost")</f>
        <v>Expensive</v>
      </c>
      <c r="I143" s="1" t="s">
        <v>25</v>
      </c>
    </row>
    <row r="144" spans="1:9" x14ac:dyDescent="0.3">
      <c r="A144" s="1" t="s">
        <v>167</v>
      </c>
      <c r="B144" s="2">
        <v>54</v>
      </c>
      <c r="C144" s="2" t="s">
        <v>20</v>
      </c>
      <c r="D144" s="2">
        <v>2000</v>
      </c>
      <c r="E144" s="2">
        <v>880</v>
      </c>
      <c r="F144" s="3">
        <f>Table1[[#This Row],[Defective Units]]/Table1[[#This Row],[Total Unit]]</f>
        <v>2.7E-2</v>
      </c>
      <c r="G144" s="2" t="str">
        <f>_xlfn.SWITCH(TRUE(),ROUND(Table1[[#This Row],[Defect Rate]],2)&gt;=4%,"High Risk",ROUND(Table1[[#This Row],[Defect Rate]],2)&gt;=3%,"Medium Risk","Low Risk")</f>
        <v>Medium Risk</v>
      </c>
      <c r="H144" s="2" t="str">
        <f>_xlfn.SWITCH(TRUE(),Table1[[#This Row],[Shipping Cost ($)]]&gt;=700,"Expensive",Table1[[#This Row],[Shipping Cost ($)]]&gt;=500,"Economical","Low Cost")</f>
        <v>Expensive</v>
      </c>
      <c r="I144" s="1" t="s">
        <v>24</v>
      </c>
    </row>
    <row r="145" spans="1:9" x14ac:dyDescent="0.3">
      <c r="A145" s="1" t="s">
        <v>168</v>
      </c>
      <c r="B145" s="2">
        <v>55</v>
      </c>
      <c r="C145" s="2" t="s">
        <v>18</v>
      </c>
      <c r="D145" s="2">
        <v>2000</v>
      </c>
      <c r="E145" s="2">
        <v>105</v>
      </c>
      <c r="F145" s="3">
        <f>Table1[[#This Row],[Defective Units]]/Table1[[#This Row],[Total Unit]]</f>
        <v>2.75E-2</v>
      </c>
      <c r="G145" s="2" t="str">
        <f>_xlfn.SWITCH(TRUE(),ROUND(Table1[[#This Row],[Defect Rate]],2)&gt;=4%,"High Risk",ROUND(Table1[[#This Row],[Defect Rate]],2)&gt;=3%,"Medium Risk","Low Risk")</f>
        <v>Medium Risk</v>
      </c>
      <c r="H145" s="2" t="str">
        <f>_xlfn.SWITCH(TRUE(),Table1[[#This Row],[Shipping Cost ($)]]&gt;=700,"Expensive",Table1[[#This Row],[Shipping Cost ($)]]&gt;=500,"Economical","Low Cost")</f>
        <v>Low Cost</v>
      </c>
      <c r="I145" s="1" t="s">
        <v>25</v>
      </c>
    </row>
    <row r="146" spans="1:9" x14ac:dyDescent="0.3">
      <c r="A146" s="1" t="s">
        <v>169</v>
      </c>
      <c r="B146" s="2">
        <v>56</v>
      </c>
      <c r="C146" s="2" t="s">
        <v>19</v>
      </c>
      <c r="D146" s="2">
        <v>2000</v>
      </c>
      <c r="E146" s="2">
        <v>550</v>
      </c>
      <c r="F146" s="3">
        <f>Table1[[#This Row],[Defective Units]]/Table1[[#This Row],[Total Unit]]</f>
        <v>2.8000000000000001E-2</v>
      </c>
      <c r="G146" s="2" t="str">
        <f>_xlfn.SWITCH(TRUE(),ROUND(Table1[[#This Row],[Defect Rate]],2)&gt;=4%,"High Risk",ROUND(Table1[[#This Row],[Defect Rate]],2)&gt;=3%,"Medium Risk","Low Risk")</f>
        <v>Medium Risk</v>
      </c>
      <c r="H146" s="2" t="str">
        <f>_xlfn.SWITCH(TRUE(),Table1[[#This Row],[Shipping Cost ($)]]&gt;=700,"Expensive",Table1[[#This Row],[Shipping Cost ($)]]&gt;=500,"Economical","Low Cost")</f>
        <v>Economical</v>
      </c>
      <c r="I146" s="1" t="s">
        <v>24</v>
      </c>
    </row>
    <row r="147" spans="1:9" x14ac:dyDescent="0.3">
      <c r="A147" s="1" t="s">
        <v>170</v>
      </c>
      <c r="B147" s="2">
        <v>57</v>
      </c>
      <c r="C147" s="2" t="s">
        <v>21</v>
      </c>
      <c r="D147" s="2">
        <v>2000</v>
      </c>
      <c r="E147" s="2">
        <v>145</v>
      </c>
      <c r="F147" s="3">
        <f>Table1[[#This Row],[Defective Units]]/Table1[[#This Row],[Total Unit]]</f>
        <v>2.8500000000000001E-2</v>
      </c>
      <c r="G147" s="2" t="str">
        <f>_xlfn.SWITCH(TRUE(),ROUND(Table1[[#This Row],[Defect Rate]],2)&gt;=4%,"High Risk",ROUND(Table1[[#This Row],[Defect Rate]],2)&gt;=3%,"Medium Risk","Low Risk")</f>
        <v>Medium Risk</v>
      </c>
      <c r="H147" s="2" t="str">
        <f>_xlfn.SWITCH(TRUE(),Table1[[#This Row],[Shipping Cost ($)]]&gt;=700,"Expensive",Table1[[#This Row],[Shipping Cost ($)]]&gt;=500,"Economical","Low Cost")</f>
        <v>Low Cost</v>
      </c>
      <c r="I147" s="1" t="s">
        <v>25</v>
      </c>
    </row>
    <row r="148" spans="1:9" x14ac:dyDescent="0.3">
      <c r="A148" s="1" t="s">
        <v>171</v>
      </c>
      <c r="B148" s="2">
        <v>58</v>
      </c>
      <c r="C148" s="1" t="s">
        <v>13</v>
      </c>
      <c r="D148" s="2">
        <v>2000</v>
      </c>
      <c r="E148" s="2">
        <v>300</v>
      </c>
      <c r="F148" s="3">
        <f>Table1[[#This Row],[Defective Units]]/Table1[[#This Row],[Total Unit]]</f>
        <v>2.9000000000000001E-2</v>
      </c>
      <c r="G148" s="2" t="str">
        <f>_xlfn.SWITCH(TRUE(),ROUND(Table1[[#This Row],[Defect Rate]],2)&gt;=4%,"High Risk",ROUND(Table1[[#This Row],[Defect Rate]],2)&gt;=3%,"Medium Risk","Low Risk")</f>
        <v>Medium Risk</v>
      </c>
      <c r="H148" s="2" t="str">
        <f>_xlfn.SWITCH(TRUE(),Table1[[#This Row],[Shipping Cost ($)]]&gt;=700,"Expensive",Table1[[#This Row],[Shipping Cost ($)]]&gt;=500,"Economical","Low Cost")</f>
        <v>Low Cost</v>
      </c>
      <c r="I148" s="1" t="s">
        <v>24</v>
      </c>
    </row>
    <row r="149" spans="1:9" x14ac:dyDescent="0.3">
      <c r="A149" s="1" t="s">
        <v>172</v>
      </c>
      <c r="B149" s="2">
        <v>59</v>
      </c>
      <c r="C149" s="1" t="s">
        <v>14</v>
      </c>
      <c r="D149" s="2">
        <v>2000</v>
      </c>
      <c r="E149" s="2">
        <v>65</v>
      </c>
      <c r="F149" s="3">
        <f>Table1[[#This Row],[Defective Units]]/Table1[[#This Row],[Total Unit]]</f>
        <v>2.9499999999999998E-2</v>
      </c>
      <c r="G149" s="2" t="str">
        <f>_xlfn.SWITCH(TRUE(),ROUND(Table1[[#This Row],[Defect Rate]],2)&gt;=4%,"High Risk",ROUND(Table1[[#This Row],[Defect Rate]],2)&gt;=3%,"Medium Risk","Low Risk")</f>
        <v>Medium Risk</v>
      </c>
      <c r="H149" s="2" t="str">
        <f>_xlfn.SWITCH(TRUE(),Table1[[#This Row],[Shipping Cost ($)]]&gt;=700,"Expensive",Table1[[#This Row],[Shipping Cost ($)]]&gt;=500,"Economical","Low Cost")</f>
        <v>Low Cost</v>
      </c>
      <c r="I149" s="1" t="s">
        <v>25</v>
      </c>
    </row>
    <row r="150" spans="1:9" x14ac:dyDescent="0.3">
      <c r="A150" s="1" t="s">
        <v>173</v>
      </c>
      <c r="B150" s="2">
        <v>60</v>
      </c>
      <c r="C150" s="1" t="s">
        <v>15</v>
      </c>
      <c r="D150" s="2">
        <v>2000</v>
      </c>
      <c r="E150" s="2">
        <v>740</v>
      </c>
      <c r="F150" s="3">
        <f>Table1[[#This Row],[Defective Units]]/Table1[[#This Row],[Total Unit]]</f>
        <v>0.03</v>
      </c>
      <c r="G150" s="2" t="str">
        <f>_xlfn.SWITCH(TRUE(),ROUND(Table1[[#This Row],[Defect Rate]],2)&gt;=4%,"High Risk",ROUND(Table1[[#This Row],[Defect Rate]],2)&gt;=3%,"Medium Risk","Low Risk")</f>
        <v>Medium Risk</v>
      </c>
      <c r="H150" s="2" t="str">
        <f>_xlfn.SWITCH(TRUE(),Table1[[#This Row],[Shipping Cost ($)]]&gt;=700,"Expensive",Table1[[#This Row],[Shipping Cost ($)]]&gt;=500,"Economical","Low Cost")</f>
        <v>Expensive</v>
      </c>
      <c r="I150" s="1" t="s">
        <v>24</v>
      </c>
    </row>
    <row r="151" spans="1:9" x14ac:dyDescent="0.3">
      <c r="A151" s="1" t="s">
        <v>174</v>
      </c>
      <c r="B151" s="2">
        <v>61</v>
      </c>
      <c r="C151" s="1" t="s">
        <v>16</v>
      </c>
      <c r="D151" s="2">
        <v>2000</v>
      </c>
      <c r="E151" s="2">
        <v>210</v>
      </c>
      <c r="F151" s="3">
        <f>Table1[[#This Row],[Defective Units]]/Table1[[#This Row],[Total Unit]]</f>
        <v>3.0499999999999999E-2</v>
      </c>
      <c r="G151" s="2" t="str">
        <f>_xlfn.SWITCH(TRUE(),ROUND(Table1[[#This Row],[Defect Rate]],2)&gt;=4%,"High Risk",ROUND(Table1[[#This Row],[Defect Rate]],2)&gt;=3%,"Medium Risk","Low Risk")</f>
        <v>Medium Risk</v>
      </c>
      <c r="H151" s="2" t="str">
        <f>_xlfn.SWITCH(TRUE(),Table1[[#This Row],[Shipping Cost ($)]]&gt;=700,"Expensive",Table1[[#This Row],[Shipping Cost ($)]]&gt;=500,"Economical","Low Cost")</f>
        <v>Low Cost</v>
      </c>
      <c r="I151" s="1" t="s">
        <v>25</v>
      </c>
    </row>
    <row r="152" spans="1:9" x14ac:dyDescent="0.3">
      <c r="A152" s="1" t="s">
        <v>175</v>
      </c>
      <c r="B152" s="2">
        <v>62</v>
      </c>
      <c r="C152" s="1" t="s">
        <v>17</v>
      </c>
      <c r="D152" s="2">
        <v>2000</v>
      </c>
      <c r="E152" s="2">
        <v>430</v>
      </c>
      <c r="F152" s="3">
        <f>Table1[[#This Row],[Defective Units]]/Table1[[#This Row],[Total Unit]]</f>
        <v>3.1E-2</v>
      </c>
      <c r="G152" s="2" t="str">
        <f>_xlfn.SWITCH(TRUE(),ROUND(Table1[[#This Row],[Defect Rate]],2)&gt;=4%,"High Risk",ROUND(Table1[[#This Row],[Defect Rate]],2)&gt;=3%,"Medium Risk","Low Risk")</f>
        <v>Medium Risk</v>
      </c>
      <c r="H152" s="2" t="str">
        <f>_xlfn.SWITCH(TRUE(),Table1[[#This Row],[Shipping Cost ($)]]&gt;=700,"Expensive",Table1[[#This Row],[Shipping Cost ($)]]&gt;=500,"Economical","Low Cost")</f>
        <v>Low Cost</v>
      </c>
      <c r="I152" s="1" t="s">
        <v>24</v>
      </c>
    </row>
    <row r="153" spans="1:9" x14ac:dyDescent="0.3">
      <c r="A153" s="1" t="s">
        <v>176</v>
      </c>
      <c r="B153" s="2">
        <v>63</v>
      </c>
      <c r="C153" s="2" t="s">
        <v>20</v>
      </c>
      <c r="D153" s="2">
        <v>2000</v>
      </c>
      <c r="E153" s="2">
        <v>125</v>
      </c>
      <c r="F153" s="3">
        <f>Table1[[#This Row],[Defective Units]]/Table1[[#This Row],[Total Unit]]</f>
        <v>3.15E-2</v>
      </c>
      <c r="G153" s="2" t="str">
        <f>_xlfn.SWITCH(TRUE(),ROUND(Table1[[#This Row],[Defect Rate]],2)&gt;=4%,"High Risk",ROUND(Table1[[#This Row],[Defect Rate]],2)&gt;=3%,"Medium Risk","Low Risk")</f>
        <v>Medium Risk</v>
      </c>
      <c r="H153" s="2" t="str">
        <f>_xlfn.SWITCH(TRUE(),Table1[[#This Row],[Shipping Cost ($)]]&gt;=700,"Expensive",Table1[[#This Row],[Shipping Cost ($)]]&gt;=500,"Economical","Low Cost")</f>
        <v>Low Cost</v>
      </c>
      <c r="I153" s="1" t="s">
        <v>25</v>
      </c>
    </row>
    <row r="154" spans="1:9" x14ac:dyDescent="0.3">
      <c r="A154" s="1" t="s">
        <v>177</v>
      </c>
      <c r="B154" s="2">
        <v>64</v>
      </c>
      <c r="C154" s="2" t="s">
        <v>18</v>
      </c>
      <c r="D154" s="2">
        <v>2000</v>
      </c>
      <c r="E154" s="2">
        <v>680</v>
      </c>
      <c r="F154" s="3">
        <f>Table1[[#This Row],[Defective Units]]/Table1[[#This Row],[Total Unit]]</f>
        <v>3.2000000000000001E-2</v>
      </c>
      <c r="G154" s="2" t="str">
        <f>_xlfn.SWITCH(TRUE(),ROUND(Table1[[#This Row],[Defect Rate]],2)&gt;=4%,"High Risk",ROUND(Table1[[#This Row],[Defect Rate]],2)&gt;=3%,"Medium Risk","Low Risk")</f>
        <v>Medium Risk</v>
      </c>
      <c r="H154" s="2" t="str">
        <f>_xlfn.SWITCH(TRUE(),Table1[[#This Row],[Shipping Cost ($)]]&gt;=700,"Expensive",Table1[[#This Row],[Shipping Cost ($)]]&gt;=500,"Economical","Low Cost")</f>
        <v>Economical</v>
      </c>
      <c r="I154" s="1" t="s">
        <v>24</v>
      </c>
    </row>
    <row r="155" spans="1:9" x14ac:dyDescent="0.3">
      <c r="A155" s="1" t="s">
        <v>178</v>
      </c>
      <c r="B155" s="2">
        <v>65</v>
      </c>
      <c r="C155" s="2" t="s">
        <v>19</v>
      </c>
      <c r="D155" s="2">
        <v>2000</v>
      </c>
      <c r="E155" s="2">
        <v>250</v>
      </c>
      <c r="F155" s="3">
        <f>Table1[[#This Row],[Defective Units]]/Table1[[#This Row],[Total Unit]]</f>
        <v>3.2500000000000001E-2</v>
      </c>
      <c r="G155" s="2" t="str">
        <f>_xlfn.SWITCH(TRUE(),ROUND(Table1[[#This Row],[Defect Rate]],2)&gt;=4%,"High Risk",ROUND(Table1[[#This Row],[Defect Rate]],2)&gt;=3%,"Medium Risk","Low Risk")</f>
        <v>Medium Risk</v>
      </c>
      <c r="H155" s="2" t="str">
        <f>_xlfn.SWITCH(TRUE(),Table1[[#This Row],[Shipping Cost ($)]]&gt;=700,"Expensive",Table1[[#This Row],[Shipping Cost ($)]]&gt;=500,"Economical","Low Cost")</f>
        <v>Low Cost</v>
      </c>
      <c r="I155" s="1" t="s">
        <v>25</v>
      </c>
    </row>
    <row r="156" spans="1:9" x14ac:dyDescent="0.3">
      <c r="A156" s="1" t="s">
        <v>179</v>
      </c>
      <c r="B156" s="2">
        <v>66</v>
      </c>
      <c r="C156" s="2" t="s">
        <v>21</v>
      </c>
      <c r="D156" s="2">
        <v>2000</v>
      </c>
      <c r="E156" s="2">
        <v>890</v>
      </c>
      <c r="F156" s="3">
        <f>Table1[[#This Row],[Defective Units]]/Table1[[#This Row],[Total Unit]]</f>
        <v>3.3000000000000002E-2</v>
      </c>
      <c r="G156" s="2" t="str">
        <f>_xlfn.SWITCH(TRUE(),ROUND(Table1[[#This Row],[Defect Rate]],2)&gt;=4%,"High Risk",ROUND(Table1[[#This Row],[Defect Rate]],2)&gt;=3%,"Medium Risk","Low Risk")</f>
        <v>Medium Risk</v>
      </c>
      <c r="H156" s="2" t="str">
        <f>_xlfn.SWITCH(TRUE(),Table1[[#This Row],[Shipping Cost ($)]]&gt;=700,"Expensive",Table1[[#This Row],[Shipping Cost ($)]]&gt;=500,"Economical","Low Cost")</f>
        <v>Expensive</v>
      </c>
      <c r="I156" s="1" t="s">
        <v>24</v>
      </c>
    </row>
    <row r="157" spans="1:9" x14ac:dyDescent="0.3">
      <c r="A157" s="1" t="s">
        <v>180</v>
      </c>
      <c r="B157" s="2">
        <v>67</v>
      </c>
      <c r="C157" s="1" t="s">
        <v>13</v>
      </c>
      <c r="D157" s="2">
        <v>2000</v>
      </c>
      <c r="E157" s="2">
        <v>340</v>
      </c>
      <c r="F157" s="3">
        <f>Table1[[#This Row],[Defective Units]]/Table1[[#This Row],[Total Unit]]</f>
        <v>3.3500000000000002E-2</v>
      </c>
      <c r="G157" s="2" t="str">
        <f>_xlfn.SWITCH(TRUE(),ROUND(Table1[[#This Row],[Defect Rate]],2)&gt;=4%,"High Risk",ROUND(Table1[[#This Row],[Defect Rate]],2)&gt;=3%,"Medium Risk","Low Risk")</f>
        <v>Medium Risk</v>
      </c>
      <c r="H157" s="2" t="str">
        <f>_xlfn.SWITCH(TRUE(),Table1[[#This Row],[Shipping Cost ($)]]&gt;=700,"Expensive",Table1[[#This Row],[Shipping Cost ($)]]&gt;=500,"Economical","Low Cost")</f>
        <v>Low Cost</v>
      </c>
      <c r="I157" s="1" t="s">
        <v>25</v>
      </c>
    </row>
    <row r="158" spans="1:9" x14ac:dyDescent="0.3">
      <c r="A158" s="1" t="s">
        <v>181</v>
      </c>
      <c r="B158" s="2">
        <v>68</v>
      </c>
      <c r="C158" s="1" t="s">
        <v>14</v>
      </c>
      <c r="D158" s="2">
        <v>2000</v>
      </c>
      <c r="E158" s="2">
        <v>275</v>
      </c>
      <c r="F158" s="3">
        <f>Table1[[#This Row],[Defective Units]]/Table1[[#This Row],[Total Unit]]</f>
        <v>3.4000000000000002E-2</v>
      </c>
      <c r="G158" s="2" t="str">
        <f>_xlfn.SWITCH(TRUE(),ROUND(Table1[[#This Row],[Defect Rate]],2)&gt;=4%,"High Risk",ROUND(Table1[[#This Row],[Defect Rate]],2)&gt;=3%,"Medium Risk","Low Risk")</f>
        <v>Medium Risk</v>
      </c>
      <c r="H158" s="2" t="str">
        <f>_xlfn.SWITCH(TRUE(),Table1[[#This Row],[Shipping Cost ($)]]&gt;=700,"Expensive",Table1[[#This Row],[Shipping Cost ($)]]&gt;=500,"Economical","Low Cost")</f>
        <v>Low Cost</v>
      </c>
      <c r="I158" s="1" t="s">
        <v>24</v>
      </c>
    </row>
    <row r="159" spans="1:9" x14ac:dyDescent="0.3">
      <c r="A159" s="1" t="s">
        <v>182</v>
      </c>
      <c r="B159" s="2">
        <v>69</v>
      </c>
      <c r="C159" s="1" t="s">
        <v>15</v>
      </c>
      <c r="D159" s="2">
        <v>2000</v>
      </c>
      <c r="E159" s="2">
        <v>600</v>
      </c>
      <c r="F159" s="3">
        <f>Table1[[#This Row],[Defective Units]]/Table1[[#This Row],[Total Unit]]</f>
        <v>3.4500000000000003E-2</v>
      </c>
      <c r="G159" s="2" t="str">
        <f>_xlfn.SWITCH(TRUE(),ROUND(Table1[[#This Row],[Defect Rate]],2)&gt;=4%,"High Risk",ROUND(Table1[[#This Row],[Defect Rate]],2)&gt;=3%,"Medium Risk","Low Risk")</f>
        <v>Medium Risk</v>
      </c>
      <c r="H159" s="2" t="str">
        <f>_xlfn.SWITCH(TRUE(),Table1[[#This Row],[Shipping Cost ($)]]&gt;=700,"Expensive",Table1[[#This Row],[Shipping Cost ($)]]&gt;=500,"Economical","Low Cost")</f>
        <v>Economical</v>
      </c>
      <c r="I159" s="1" t="s">
        <v>25</v>
      </c>
    </row>
    <row r="160" spans="1:9" x14ac:dyDescent="0.3">
      <c r="A160" s="1" t="s">
        <v>183</v>
      </c>
      <c r="B160" s="2">
        <v>48</v>
      </c>
      <c r="C160" s="1" t="s">
        <v>16</v>
      </c>
      <c r="D160" s="2">
        <v>2000</v>
      </c>
      <c r="E160" s="2">
        <v>115</v>
      </c>
      <c r="F160" s="3">
        <f>Table1[[#This Row],[Defective Units]]/Table1[[#This Row],[Total Unit]]</f>
        <v>2.4E-2</v>
      </c>
      <c r="G160" s="2" t="str">
        <f>_xlfn.SWITCH(TRUE(),ROUND(Table1[[#This Row],[Defect Rate]],2)&gt;=4%,"High Risk",ROUND(Table1[[#This Row],[Defect Rate]],2)&gt;=3%,"Medium Risk","Low Risk")</f>
        <v>Low Risk</v>
      </c>
      <c r="H160" s="2" t="str">
        <f>_xlfn.SWITCH(TRUE(),Table1[[#This Row],[Shipping Cost ($)]]&gt;=700,"Expensive",Table1[[#This Row],[Shipping Cost ($)]]&gt;=500,"Economical","Low Cost")</f>
        <v>Low Cost</v>
      </c>
      <c r="I160" s="1" t="s">
        <v>24</v>
      </c>
    </row>
    <row r="161" spans="1:9" x14ac:dyDescent="0.3">
      <c r="A161" s="1" t="s">
        <v>184</v>
      </c>
      <c r="B161" s="2">
        <v>49</v>
      </c>
      <c r="C161" s="1" t="s">
        <v>17</v>
      </c>
      <c r="D161" s="2">
        <v>2000</v>
      </c>
      <c r="E161" s="2">
        <v>920</v>
      </c>
      <c r="F161" s="3">
        <f>Table1[[#This Row],[Defective Units]]/Table1[[#This Row],[Total Unit]]</f>
        <v>2.4500000000000001E-2</v>
      </c>
      <c r="G161" s="2" t="str">
        <f>_xlfn.SWITCH(TRUE(),ROUND(Table1[[#This Row],[Defect Rate]],2)&gt;=4%,"High Risk",ROUND(Table1[[#This Row],[Defect Rate]],2)&gt;=3%,"Medium Risk","Low Risk")</f>
        <v>Low Risk</v>
      </c>
      <c r="H161" s="2" t="str">
        <f>_xlfn.SWITCH(TRUE(),Table1[[#This Row],[Shipping Cost ($)]]&gt;=700,"Expensive",Table1[[#This Row],[Shipping Cost ($)]]&gt;=500,"Economical","Low Cost")</f>
        <v>Expensive</v>
      </c>
      <c r="I161" s="1" t="s">
        <v>25</v>
      </c>
    </row>
    <row r="162" spans="1:9" x14ac:dyDescent="0.3">
      <c r="A162" s="1" t="s">
        <v>185</v>
      </c>
      <c r="B162" s="2">
        <v>50</v>
      </c>
      <c r="C162" s="2" t="s">
        <v>20</v>
      </c>
      <c r="D162" s="2">
        <v>2000</v>
      </c>
      <c r="E162" s="2">
        <v>190</v>
      </c>
      <c r="F162" s="3">
        <f>Table1[[#This Row],[Defective Units]]/Table1[[#This Row],[Total Unit]]</f>
        <v>2.5000000000000001E-2</v>
      </c>
      <c r="G162" s="2" t="str">
        <f>_xlfn.SWITCH(TRUE(),ROUND(Table1[[#This Row],[Defect Rate]],2)&gt;=4%,"High Risk",ROUND(Table1[[#This Row],[Defect Rate]],2)&gt;=3%,"Medium Risk","Low Risk")</f>
        <v>Medium Risk</v>
      </c>
      <c r="H162" s="2" t="str">
        <f>_xlfn.SWITCH(TRUE(),Table1[[#This Row],[Shipping Cost ($)]]&gt;=700,"Expensive",Table1[[#This Row],[Shipping Cost ($)]]&gt;=500,"Economical","Low Cost")</f>
        <v>Low Cost</v>
      </c>
      <c r="I162" s="1" t="s">
        <v>24</v>
      </c>
    </row>
    <row r="163" spans="1:9" x14ac:dyDescent="0.3">
      <c r="A163" s="1" t="s">
        <v>186</v>
      </c>
      <c r="B163" s="2">
        <v>41</v>
      </c>
      <c r="C163" s="2" t="s">
        <v>18</v>
      </c>
      <c r="D163" s="2">
        <v>2000</v>
      </c>
      <c r="E163" s="2">
        <v>290</v>
      </c>
      <c r="F163" s="3">
        <f>Table1[[#This Row],[Defective Units]]/Table1[[#This Row],[Total Unit]]</f>
        <v>2.0500000000000001E-2</v>
      </c>
      <c r="G163" s="2" t="str">
        <f>_xlfn.SWITCH(TRUE(),ROUND(Table1[[#This Row],[Defect Rate]],2)&gt;=4%,"High Risk",ROUND(Table1[[#This Row],[Defect Rate]],2)&gt;=3%,"Medium Risk","Low Risk")</f>
        <v>Low Risk</v>
      </c>
      <c r="H163" s="2" t="str">
        <f>_xlfn.SWITCH(TRUE(),Table1[[#This Row],[Shipping Cost ($)]]&gt;=700,"Expensive",Table1[[#This Row],[Shipping Cost ($)]]&gt;=500,"Economical","Low Cost")</f>
        <v>Low Cost</v>
      </c>
      <c r="I163" s="1" t="s">
        <v>25</v>
      </c>
    </row>
    <row r="164" spans="1:9" x14ac:dyDescent="0.3">
      <c r="A164" s="1" t="s">
        <v>187</v>
      </c>
      <c r="B164" s="2">
        <v>42</v>
      </c>
      <c r="C164" s="2" t="s">
        <v>19</v>
      </c>
      <c r="D164" s="2">
        <v>2000</v>
      </c>
      <c r="E164" s="2">
        <v>610</v>
      </c>
      <c r="F164" s="3">
        <f>Table1[[#This Row],[Defective Units]]/Table1[[#This Row],[Total Unit]]</f>
        <v>2.1000000000000001E-2</v>
      </c>
      <c r="G164" s="2" t="str">
        <f>_xlfn.SWITCH(TRUE(),ROUND(Table1[[#This Row],[Defect Rate]],2)&gt;=4%,"High Risk",ROUND(Table1[[#This Row],[Defect Rate]],2)&gt;=3%,"Medium Risk","Low Risk")</f>
        <v>Low Risk</v>
      </c>
      <c r="H164" s="2" t="str">
        <f>_xlfn.SWITCH(TRUE(),Table1[[#This Row],[Shipping Cost ($)]]&gt;=700,"Expensive",Table1[[#This Row],[Shipping Cost ($)]]&gt;=500,"Economical","Low Cost")</f>
        <v>Economical</v>
      </c>
      <c r="I164" s="1" t="s">
        <v>24</v>
      </c>
    </row>
    <row r="165" spans="1:9" x14ac:dyDescent="0.3">
      <c r="A165" s="1" t="s">
        <v>188</v>
      </c>
      <c r="B165" s="2">
        <v>43</v>
      </c>
      <c r="C165" s="2" t="s">
        <v>21</v>
      </c>
      <c r="D165" s="2">
        <v>2000</v>
      </c>
      <c r="E165" s="2">
        <v>120</v>
      </c>
      <c r="F165" s="3">
        <f>Table1[[#This Row],[Defective Units]]/Table1[[#This Row],[Total Unit]]</f>
        <v>2.1499999999999998E-2</v>
      </c>
      <c r="G165" s="2" t="str">
        <f>_xlfn.SWITCH(TRUE(),ROUND(Table1[[#This Row],[Defect Rate]],2)&gt;=4%,"High Risk",ROUND(Table1[[#This Row],[Defect Rate]],2)&gt;=3%,"Medium Risk","Low Risk")</f>
        <v>Low Risk</v>
      </c>
      <c r="H165" s="2" t="str">
        <f>_xlfn.SWITCH(TRUE(),Table1[[#This Row],[Shipping Cost ($)]]&gt;=700,"Expensive",Table1[[#This Row],[Shipping Cost ($)]]&gt;=500,"Economical","Low Cost")</f>
        <v>Low Cost</v>
      </c>
      <c r="I165" s="1" t="s">
        <v>25</v>
      </c>
    </row>
    <row r="166" spans="1:9" x14ac:dyDescent="0.3">
      <c r="A166" s="1" t="s">
        <v>189</v>
      </c>
      <c r="B166" s="2">
        <v>44</v>
      </c>
      <c r="C166" s="1" t="s">
        <v>13</v>
      </c>
      <c r="D166" s="2">
        <v>2000</v>
      </c>
      <c r="E166" s="2">
        <v>480</v>
      </c>
      <c r="F166" s="3">
        <f>Table1[[#This Row],[Defective Units]]/Table1[[#This Row],[Total Unit]]</f>
        <v>2.1999999999999999E-2</v>
      </c>
      <c r="G166" s="2" t="str">
        <f>_xlfn.SWITCH(TRUE(),ROUND(Table1[[#This Row],[Defect Rate]],2)&gt;=4%,"High Risk",ROUND(Table1[[#This Row],[Defect Rate]],2)&gt;=3%,"Medium Risk","Low Risk")</f>
        <v>Low Risk</v>
      </c>
      <c r="H166" s="2" t="str">
        <f>_xlfn.SWITCH(TRUE(),Table1[[#This Row],[Shipping Cost ($)]]&gt;=700,"Expensive",Table1[[#This Row],[Shipping Cost ($)]]&gt;=500,"Economical","Low Cost")</f>
        <v>Low Cost</v>
      </c>
      <c r="I166" s="1" t="s">
        <v>24</v>
      </c>
    </row>
    <row r="167" spans="1:9" x14ac:dyDescent="0.3">
      <c r="A167" s="1" t="s">
        <v>190</v>
      </c>
      <c r="B167" s="2">
        <v>38</v>
      </c>
      <c r="C167" s="1" t="s">
        <v>14</v>
      </c>
      <c r="D167" s="2">
        <v>2000</v>
      </c>
      <c r="E167" s="2">
        <v>150</v>
      </c>
      <c r="F167" s="3">
        <f>Table1[[#This Row],[Defective Units]]/Table1[[#This Row],[Total Unit]]</f>
        <v>1.9E-2</v>
      </c>
      <c r="G167" s="2" t="str">
        <f>_xlfn.SWITCH(TRUE(),ROUND(Table1[[#This Row],[Defect Rate]],2)&gt;=4%,"High Risk",ROUND(Table1[[#This Row],[Defect Rate]],2)&gt;=3%,"Medium Risk","Low Risk")</f>
        <v>Low Risk</v>
      </c>
      <c r="H167" s="2" t="str">
        <f>_xlfn.SWITCH(TRUE(),Table1[[#This Row],[Shipping Cost ($)]]&gt;=700,"Expensive",Table1[[#This Row],[Shipping Cost ($)]]&gt;=500,"Economical","Low Cost")</f>
        <v>Low Cost</v>
      </c>
      <c r="I167" s="1" t="s">
        <v>25</v>
      </c>
    </row>
    <row r="168" spans="1:9" x14ac:dyDescent="0.3">
      <c r="A168" s="1" t="s">
        <v>191</v>
      </c>
      <c r="B168" s="2">
        <v>39</v>
      </c>
      <c r="C168" s="1" t="s">
        <v>15</v>
      </c>
      <c r="D168" s="2">
        <v>2000</v>
      </c>
      <c r="E168" s="2">
        <v>720</v>
      </c>
      <c r="F168" s="3">
        <f>Table1[[#This Row],[Defective Units]]/Table1[[#This Row],[Total Unit]]</f>
        <v>1.95E-2</v>
      </c>
      <c r="G168" s="2" t="str">
        <f>_xlfn.SWITCH(TRUE(),ROUND(Table1[[#This Row],[Defect Rate]],2)&gt;=4%,"High Risk",ROUND(Table1[[#This Row],[Defect Rate]],2)&gt;=3%,"Medium Risk","Low Risk")</f>
        <v>Low Risk</v>
      </c>
      <c r="H168" s="2" t="str">
        <f>_xlfn.SWITCH(TRUE(),Table1[[#This Row],[Shipping Cost ($)]]&gt;=700,"Expensive",Table1[[#This Row],[Shipping Cost ($)]]&gt;=500,"Economical","Low Cost")</f>
        <v>Expensive</v>
      </c>
      <c r="I168" s="1" t="s">
        <v>24</v>
      </c>
    </row>
    <row r="169" spans="1:9" x14ac:dyDescent="0.3">
      <c r="A169" s="1" t="s">
        <v>192</v>
      </c>
      <c r="B169" s="2">
        <v>40</v>
      </c>
      <c r="C169" s="1" t="s">
        <v>16</v>
      </c>
      <c r="D169" s="2">
        <v>2000</v>
      </c>
      <c r="E169" s="2">
        <v>500</v>
      </c>
      <c r="F169" s="3">
        <f>Table1[[#This Row],[Defective Units]]/Table1[[#This Row],[Total Unit]]</f>
        <v>0.02</v>
      </c>
      <c r="G169" s="2" t="str">
        <f>_xlfn.SWITCH(TRUE(),ROUND(Table1[[#This Row],[Defect Rate]],2)&gt;=4%,"High Risk",ROUND(Table1[[#This Row],[Defect Rate]],2)&gt;=3%,"Medium Risk","Low Risk")</f>
        <v>Low Risk</v>
      </c>
      <c r="H169" s="2" t="str">
        <f>_xlfn.SWITCH(TRUE(),Table1[[#This Row],[Shipping Cost ($)]]&gt;=700,"Expensive",Table1[[#This Row],[Shipping Cost ($)]]&gt;=500,"Economical","Low Cost")</f>
        <v>Economical</v>
      </c>
      <c r="I169" s="1" t="s">
        <v>25</v>
      </c>
    </row>
    <row r="170" spans="1:9" x14ac:dyDescent="0.3">
      <c r="A170" s="1" t="s">
        <v>193</v>
      </c>
      <c r="B170" s="2">
        <v>41</v>
      </c>
      <c r="C170" s="1" t="s">
        <v>17</v>
      </c>
      <c r="D170" s="2">
        <v>2000</v>
      </c>
      <c r="E170" s="2">
        <v>600</v>
      </c>
      <c r="F170" s="3">
        <f>Table1[[#This Row],[Defective Units]]/Table1[[#This Row],[Total Unit]]</f>
        <v>2.0500000000000001E-2</v>
      </c>
      <c r="G170" s="2" t="str">
        <f>_xlfn.SWITCH(TRUE(),ROUND(Table1[[#This Row],[Defect Rate]],2)&gt;=4%,"High Risk",ROUND(Table1[[#This Row],[Defect Rate]],2)&gt;=3%,"Medium Risk","Low Risk")</f>
        <v>Low Risk</v>
      </c>
      <c r="H170" s="2" t="str">
        <f>_xlfn.SWITCH(TRUE(),Table1[[#This Row],[Shipping Cost ($)]]&gt;=700,"Expensive",Table1[[#This Row],[Shipping Cost ($)]]&gt;=500,"Economical","Low Cost")</f>
        <v>Economical</v>
      </c>
      <c r="I170" s="1" t="s">
        <v>24</v>
      </c>
    </row>
    <row r="171" spans="1:9" x14ac:dyDescent="0.3">
      <c r="A171" s="1" t="s">
        <v>194</v>
      </c>
      <c r="B171" s="2">
        <v>42</v>
      </c>
      <c r="C171" s="2" t="s">
        <v>20</v>
      </c>
      <c r="D171" s="2">
        <v>2000</v>
      </c>
      <c r="E171" s="2">
        <v>700</v>
      </c>
      <c r="F171" s="3">
        <f>Table1[[#This Row],[Defective Units]]/Table1[[#This Row],[Total Unit]]</f>
        <v>2.1000000000000001E-2</v>
      </c>
      <c r="G171" s="2" t="str">
        <f>_xlfn.SWITCH(TRUE(),ROUND(Table1[[#This Row],[Defect Rate]],2)&gt;=4%,"High Risk",ROUND(Table1[[#This Row],[Defect Rate]],2)&gt;=3%,"Medium Risk","Low Risk")</f>
        <v>Low Risk</v>
      </c>
      <c r="H171" s="2" t="str">
        <f>_xlfn.SWITCH(TRUE(),Table1[[#This Row],[Shipping Cost ($)]]&gt;=700,"Expensive",Table1[[#This Row],[Shipping Cost ($)]]&gt;=500,"Economical","Low Cost")</f>
        <v>Expensive</v>
      </c>
      <c r="I171" s="1" t="s">
        <v>25</v>
      </c>
    </row>
    <row r="172" spans="1:9" x14ac:dyDescent="0.3">
      <c r="A172" s="1" t="s">
        <v>195</v>
      </c>
      <c r="B172" s="2">
        <v>43</v>
      </c>
      <c r="C172" s="2" t="s">
        <v>18</v>
      </c>
      <c r="D172" s="2">
        <v>2000</v>
      </c>
      <c r="E172" s="2">
        <v>800</v>
      </c>
      <c r="F172" s="3">
        <f>Table1[[#This Row],[Defective Units]]/Table1[[#This Row],[Total Unit]]</f>
        <v>2.1499999999999998E-2</v>
      </c>
      <c r="G172" s="2" t="str">
        <f>_xlfn.SWITCH(TRUE(),ROUND(Table1[[#This Row],[Defect Rate]],2)&gt;=4%,"High Risk",ROUND(Table1[[#This Row],[Defect Rate]],2)&gt;=3%,"Medium Risk","Low Risk")</f>
        <v>Low Risk</v>
      </c>
      <c r="H172" s="2" t="str">
        <f>_xlfn.SWITCH(TRUE(),Table1[[#This Row],[Shipping Cost ($)]]&gt;=700,"Expensive",Table1[[#This Row],[Shipping Cost ($)]]&gt;=500,"Economical","Low Cost")</f>
        <v>Expensive</v>
      </c>
      <c r="I172" s="1" t="s">
        <v>24</v>
      </c>
    </row>
    <row r="173" spans="1:9" x14ac:dyDescent="0.3">
      <c r="A173" s="1" t="s">
        <v>196</v>
      </c>
      <c r="B173" s="2">
        <v>44</v>
      </c>
      <c r="C173" s="2" t="s">
        <v>19</v>
      </c>
      <c r="D173" s="2">
        <v>2000</v>
      </c>
      <c r="E173" s="2">
        <v>900</v>
      </c>
      <c r="F173" s="3">
        <f>Table1[[#This Row],[Defective Units]]/Table1[[#This Row],[Total Unit]]</f>
        <v>2.1999999999999999E-2</v>
      </c>
      <c r="G173" s="2" t="str">
        <f>_xlfn.SWITCH(TRUE(),ROUND(Table1[[#This Row],[Defect Rate]],2)&gt;=4%,"High Risk",ROUND(Table1[[#This Row],[Defect Rate]],2)&gt;=3%,"Medium Risk","Low Risk")</f>
        <v>Low Risk</v>
      </c>
      <c r="H173" s="2" t="str">
        <f>_xlfn.SWITCH(TRUE(),Table1[[#This Row],[Shipping Cost ($)]]&gt;=700,"Expensive",Table1[[#This Row],[Shipping Cost ($)]]&gt;=500,"Economical","Low Cost")</f>
        <v>Expensive</v>
      </c>
      <c r="I173" s="1" t="s">
        <v>25</v>
      </c>
    </row>
    <row r="174" spans="1:9" x14ac:dyDescent="0.3">
      <c r="A174" s="1" t="s">
        <v>197</v>
      </c>
      <c r="B174" s="2">
        <v>45</v>
      </c>
      <c r="C174" s="2" t="s">
        <v>21</v>
      </c>
      <c r="D174" s="2">
        <v>2000</v>
      </c>
      <c r="E174" s="2">
        <v>680</v>
      </c>
      <c r="F174" s="3">
        <f>Table1[[#This Row],[Defective Units]]/Table1[[#This Row],[Total Unit]]</f>
        <v>2.2499999999999999E-2</v>
      </c>
      <c r="G174" s="2" t="str">
        <f>_xlfn.SWITCH(TRUE(),ROUND(Table1[[#This Row],[Defect Rate]],2)&gt;=4%,"High Risk",ROUND(Table1[[#This Row],[Defect Rate]],2)&gt;=3%,"Medium Risk","Low Risk")</f>
        <v>Low Risk</v>
      </c>
      <c r="H174" s="2" t="str">
        <f>_xlfn.SWITCH(TRUE(),Table1[[#This Row],[Shipping Cost ($)]]&gt;=700,"Expensive",Table1[[#This Row],[Shipping Cost ($)]]&gt;=500,"Economical","Low Cost")</f>
        <v>Economical</v>
      </c>
      <c r="I174" s="1" t="s">
        <v>24</v>
      </c>
    </row>
    <row r="175" spans="1:9" x14ac:dyDescent="0.3">
      <c r="A175" s="1" t="s">
        <v>198</v>
      </c>
      <c r="B175" s="2">
        <v>46</v>
      </c>
      <c r="C175" s="1" t="s">
        <v>13</v>
      </c>
      <c r="D175" s="2">
        <v>2000</v>
      </c>
      <c r="E175" s="2">
        <v>250</v>
      </c>
      <c r="F175" s="3">
        <f>Table1[[#This Row],[Defective Units]]/Table1[[#This Row],[Total Unit]]</f>
        <v>2.3E-2</v>
      </c>
      <c r="G175" s="2" t="str">
        <f>_xlfn.SWITCH(TRUE(),ROUND(Table1[[#This Row],[Defect Rate]],2)&gt;=4%,"High Risk",ROUND(Table1[[#This Row],[Defect Rate]],2)&gt;=3%,"Medium Risk","Low Risk")</f>
        <v>Low Risk</v>
      </c>
      <c r="H175" s="2" t="str">
        <f>_xlfn.SWITCH(TRUE(),Table1[[#This Row],[Shipping Cost ($)]]&gt;=700,"Expensive",Table1[[#This Row],[Shipping Cost ($)]]&gt;=500,"Economical","Low Cost")</f>
        <v>Low Cost</v>
      </c>
      <c r="I175" s="1" t="s">
        <v>25</v>
      </c>
    </row>
    <row r="176" spans="1:9" x14ac:dyDescent="0.3">
      <c r="A176" s="1" t="s">
        <v>199</v>
      </c>
      <c r="B176" s="2">
        <v>47</v>
      </c>
      <c r="C176" s="1" t="s">
        <v>14</v>
      </c>
      <c r="D176" s="2">
        <v>2000</v>
      </c>
      <c r="E176" s="2">
        <v>890</v>
      </c>
      <c r="F176" s="3">
        <f>Table1[[#This Row],[Defective Units]]/Table1[[#This Row],[Total Unit]]</f>
        <v>2.35E-2</v>
      </c>
      <c r="G176" s="2" t="str">
        <f>_xlfn.SWITCH(TRUE(),ROUND(Table1[[#This Row],[Defect Rate]],2)&gt;=4%,"High Risk",ROUND(Table1[[#This Row],[Defect Rate]],2)&gt;=3%,"Medium Risk","Low Risk")</f>
        <v>Low Risk</v>
      </c>
      <c r="H176" s="2" t="str">
        <f>_xlfn.SWITCH(TRUE(),Table1[[#This Row],[Shipping Cost ($)]]&gt;=700,"Expensive",Table1[[#This Row],[Shipping Cost ($)]]&gt;=500,"Economical","Low Cost")</f>
        <v>Expensive</v>
      </c>
      <c r="I176" s="1" t="s">
        <v>24</v>
      </c>
    </row>
    <row r="177" spans="1:9" x14ac:dyDescent="0.3">
      <c r="A177" s="1" t="s">
        <v>200</v>
      </c>
      <c r="B177" s="2">
        <v>48</v>
      </c>
      <c r="C177" s="1" t="s">
        <v>15</v>
      </c>
      <c r="D177" s="2">
        <v>2000</v>
      </c>
      <c r="E177" s="2">
        <v>340</v>
      </c>
      <c r="F177" s="3">
        <f>Table1[[#This Row],[Defective Units]]/Table1[[#This Row],[Total Unit]]</f>
        <v>2.4E-2</v>
      </c>
      <c r="G177" s="2" t="str">
        <f>_xlfn.SWITCH(TRUE(),ROUND(Table1[[#This Row],[Defect Rate]],2)&gt;=4%,"High Risk",ROUND(Table1[[#This Row],[Defect Rate]],2)&gt;=3%,"Medium Risk","Low Risk")</f>
        <v>Low Risk</v>
      </c>
      <c r="H177" s="2" t="str">
        <f>_xlfn.SWITCH(TRUE(),Table1[[#This Row],[Shipping Cost ($)]]&gt;=700,"Expensive",Table1[[#This Row],[Shipping Cost ($)]]&gt;=500,"Economical","Low Cost")</f>
        <v>Low Cost</v>
      </c>
      <c r="I177" s="1" t="s">
        <v>25</v>
      </c>
    </row>
    <row r="178" spans="1:9" x14ac:dyDescent="0.3">
      <c r="A178" s="1" t="s">
        <v>201</v>
      </c>
      <c r="B178" s="2">
        <v>49</v>
      </c>
      <c r="C178" s="1" t="s">
        <v>16</v>
      </c>
      <c r="D178" s="2">
        <v>2000</v>
      </c>
      <c r="E178" s="2">
        <v>275</v>
      </c>
      <c r="F178" s="3">
        <f>Table1[[#This Row],[Defective Units]]/Table1[[#This Row],[Total Unit]]</f>
        <v>2.4500000000000001E-2</v>
      </c>
      <c r="G178" s="2" t="str">
        <f>_xlfn.SWITCH(TRUE(),ROUND(Table1[[#This Row],[Defect Rate]],2)&gt;=4%,"High Risk",ROUND(Table1[[#This Row],[Defect Rate]],2)&gt;=3%,"Medium Risk","Low Risk")</f>
        <v>Low Risk</v>
      </c>
      <c r="H178" s="2" t="str">
        <f>_xlfn.SWITCH(TRUE(),Table1[[#This Row],[Shipping Cost ($)]]&gt;=700,"Expensive",Table1[[#This Row],[Shipping Cost ($)]]&gt;=500,"Economical","Low Cost")</f>
        <v>Low Cost</v>
      </c>
      <c r="I178" s="1" t="s">
        <v>24</v>
      </c>
    </row>
    <row r="179" spans="1:9" x14ac:dyDescent="0.3">
      <c r="A179" s="1" t="s">
        <v>202</v>
      </c>
      <c r="B179" s="2">
        <v>50</v>
      </c>
      <c r="C179" s="1" t="s">
        <v>17</v>
      </c>
      <c r="D179" s="2">
        <v>2000</v>
      </c>
      <c r="E179" s="2">
        <v>600</v>
      </c>
      <c r="F179" s="3">
        <f>Table1[[#This Row],[Defective Units]]/Table1[[#This Row],[Total Unit]]</f>
        <v>2.5000000000000001E-2</v>
      </c>
      <c r="G179" s="2" t="str">
        <f>_xlfn.SWITCH(TRUE(),ROUND(Table1[[#This Row],[Defect Rate]],2)&gt;=4%,"High Risk",ROUND(Table1[[#This Row],[Defect Rate]],2)&gt;=3%,"Medium Risk","Low Risk")</f>
        <v>Medium Risk</v>
      </c>
      <c r="H179" s="2" t="str">
        <f>_xlfn.SWITCH(TRUE(),Table1[[#This Row],[Shipping Cost ($)]]&gt;=700,"Expensive",Table1[[#This Row],[Shipping Cost ($)]]&gt;=500,"Economical","Low Cost")</f>
        <v>Economical</v>
      </c>
      <c r="I179" s="1" t="s">
        <v>25</v>
      </c>
    </row>
    <row r="180" spans="1:9" x14ac:dyDescent="0.3">
      <c r="A180" s="1" t="s">
        <v>203</v>
      </c>
      <c r="B180" s="2">
        <v>51</v>
      </c>
      <c r="C180" s="2" t="s">
        <v>20</v>
      </c>
      <c r="D180" s="2">
        <v>2000</v>
      </c>
      <c r="E180" s="2">
        <v>115</v>
      </c>
      <c r="F180" s="3">
        <f>Table1[[#This Row],[Defective Units]]/Table1[[#This Row],[Total Unit]]</f>
        <v>2.5499999999999998E-2</v>
      </c>
      <c r="G180" s="2" t="str">
        <f>_xlfn.SWITCH(TRUE(),ROUND(Table1[[#This Row],[Defect Rate]],2)&gt;=4%,"High Risk",ROUND(Table1[[#This Row],[Defect Rate]],2)&gt;=3%,"Medium Risk","Low Risk")</f>
        <v>Medium Risk</v>
      </c>
      <c r="H180" s="2" t="str">
        <f>_xlfn.SWITCH(TRUE(),Table1[[#This Row],[Shipping Cost ($)]]&gt;=700,"Expensive",Table1[[#This Row],[Shipping Cost ($)]]&gt;=500,"Economical","Low Cost")</f>
        <v>Low Cost</v>
      </c>
      <c r="I180" s="1" t="s">
        <v>24</v>
      </c>
    </row>
    <row r="181" spans="1:9" x14ac:dyDescent="0.3">
      <c r="A181" s="1" t="s">
        <v>204</v>
      </c>
      <c r="B181" s="2">
        <v>52</v>
      </c>
      <c r="C181" s="2" t="s">
        <v>18</v>
      </c>
      <c r="D181" s="2">
        <v>2000</v>
      </c>
      <c r="E181" s="2">
        <v>920</v>
      </c>
      <c r="F181" s="3">
        <f>Table1[[#This Row],[Defective Units]]/Table1[[#This Row],[Total Unit]]</f>
        <v>2.5999999999999999E-2</v>
      </c>
      <c r="G181" s="2" t="str">
        <f>_xlfn.SWITCH(TRUE(),ROUND(Table1[[#This Row],[Defect Rate]],2)&gt;=4%,"High Risk",ROUND(Table1[[#This Row],[Defect Rate]],2)&gt;=3%,"Medium Risk","Low Risk")</f>
        <v>Medium Risk</v>
      </c>
      <c r="H181" s="2" t="str">
        <f>_xlfn.SWITCH(TRUE(),Table1[[#This Row],[Shipping Cost ($)]]&gt;=700,"Expensive",Table1[[#This Row],[Shipping Cost ($)]]&gt;=500,"Economical","Low Cost")</f>
        <v>Expensive</v>
      </c>
      <c r="I181" s="1" t="s">
        <v>25</v>
      </c>
    </row>
    <row r="182" spans="1:9" x14ac:dyDescent="0.3">
      <c r="A182" s="1" t="s">
        <v>205</v>
      </c>
      <c r="B182" s="2">
        <v>53</v>
      </c>
      <c r="C182" s="2" t="s">
        <v>19</v>
      </c>
      <c r="D182" s="2">
        <v>2000</v>
      </c>
      <c r="E182" s="2">
        <v>190</v>
      </c>
      <c r="F182" s="3">
        <f>Table1[[#This Row],[Defective Units]]/Table1[[#This Row],[Total Unit]]</f>
        <v>2.6499999999999999E-2</v>
      </c>
      <c r="G182" s="2" t="str">
        <f>_xlfn.SWITCH(TRUE(),ROUND(Table1[[#This Row],[Defect Rate]],2)&gt;=4%,"High Risk",ROUND(Table1[[#This Row],[Defect Rate]],2)&gt;=3%,"Medium Risk","Low Risk")</f>
        <v>Medium Risk</v>
      </c>
      <c r="H182" s="2" t="str">
        <f>_xlfn.SWITCH(TRUE(),Table1[[#This Row],[Shipping Cost ($)]]&gt;=700,"Expensive",Table1[[#This Row],[Shipping Cost ($)]]&gt;=500,"Economical","Low Cost")</f>
        <v>Low Cost</v>
      </c>
      <c r="I182" s="1" t="s">
        <v>24</v>
      </c>
    </row>
    <row r="183" spans="1:9" x14ac:dyDescent="0.3">
      <c r="A183" s="1" t="s">
        <v>206</v>
      </c>
      <c r="B183" s="2">
        <v>54</v>
      </c>
      <c r="C183" s="2" t="s">
        <v>21</v>
      </c>
      <c r="D183" s="2">
        <v>2000</v>
      </c>
      <c r="E183" s="2">
        <v>290</v>
      </c>
      <c r="F183" s="3">
        <f>Table1[[#This Row],[Defective Units]]/Table1[[#This Row],[Total Unit]]</f>
        <v>2.7E-2</v>
      </c>
      <c r="G183" s="2" t="str">
        <f>_xlfn.SWITCH(TRUE(),ROUND(Table1[[#This Row],[Defect Rate]],2)&gt;=4%,"High Risk",ROUND(Table1[[#This Row],[Defect Rate]],2)&gt;=3%,"Medium Risk","Low Risk")</f>
        <v>Medium Risk</v>
      </c>
      <c r="H183" s="2" t="str">
        <f>_xlfn.SWITCH(TRUE(),Table1[[#This Row],[Shipping Cost ($)]]&gt;=700,"Expensive",Table1[[#This Row],[Shipping Cost ($)]]&gt;=500,"Economical","Low Cost")</f>
        <v>Low Cost</v>
      </c>
      <c r="I183" s="1" t="s">
        <v>25</v>
      </c>
    </row>
    <row r="184" spans="1:9" x14ac:dyDescent="0.3">
      <c r="A184" s="1" t="s">
        <v>207</v>
      </c>
      <c r="B184" s="2">
        <v>55</v>
      </c>
      <c r="C184" s="1" t="s">
        <v>13</v>
      </c>
      <c r="D184" s="2">
        <v>2000</v>
      </c>
      <c r="E184" s="2">
        <v>610</v>
      </c>
      <c r="F184" s="3">
        <f>Table1[[#This Row],[Defective Units]]/Table1[[#This Row],[Total Unit]]</f>
        <v>2.75E-2</v>
      </c>
      <c r="G184" s="2" t="str">
        <f>_xlfn.SWITCH(TRUE(),ROUND(Table1[[#This Row],[Defect Rate]],2)&gt;=4%,"High Risk",ROUND(Table1[[#This Row],[Defect Rate]],2)&gt;=3%,"Medium Risk","Low Risk")</f>
        <v>Medium Risk</v>
      </c>
      <c r="H184" s="2" t="str">
        <f>_xlfn.SWITCH(TRUE(),Table1[[#This Row],[Shipping Cost ($)]]&gt;=700,"Expensive",Table1[[#This Row],[Shipping Cost ($)]]&gt;=500,"Economical","Low Cost")</f>
        <v>Economical</v>
      </c>
      <c r="I184" s="1" t="s">
        <v>24</v>
      </c>
    </row>
    <row r="185" spans="1:9" x14ac:dyDescent="0.3">
      <c r="A185" s="1" t="s">
        <v>208</v>
      </c>
      <c r="B185" s="2">
        <v>56</v>
      </c>
      <c r="C185" s="1" t="s">
        <v>14</v>
      </c>
      <c r="D185" s="2">
        <v>2000</v>
      </c>
      <c r="E185" s="2">
        <v>120</v>
      </c>
      <c r="F185" s="3">
        <f>Table1[[#This Row],[Defective Units]]/Table1[[#This Row],[Total Unit]]</f>
        <v>2.8000000000000001E-2</v>
      </c>
      <c r="G185" s="2" t="str">
        <f>_xlfn.SWITCH(TRUE(),ROUND(Table1[[#This Row],[Defect Rate]],2)&gt;=4%,"High Risk",ROUND(Table1[[#This Row],[Defect Rate]],2)&gt;=3%,"Medium Risk","Low Risk")</f>
        <v>Medium Risk</v>
      </c>
      <c r="H185" s="2" t="str">
        <f>_xlfn.SWITCH(TRUE(),Table1[[#This Row],[Shipping Cost ($)]]&gt;=700,"Expensive",Table1[[#This Row],[Shipping Cost ($)]]&gt;=500,"Economical","Low Cost")</f>
        <v>Low Cost</v>
      </c>
      <c r="I185" s="1" t="s">
        <v>25</v>
      </c>
    </row>
    <row r="186" spans="1:9" x14ac:dyDescent="0.3">
      <c r="A186" s="1" t="s">
        <v>209</v>
      </c>
      <c r="B186" s="2">
        <v>57</v>
      </c>
      <c r="C186" s="1" t="s">
        <v>15</v>
      </c>
      <c r="D186" s="2">
        <v>2000</v>
      </c>
      <c r="E186" s="2">
        <v>480</v>
      </c>
      <c r="F186" s="3">
        <f>Table1[[#This Row],[Defective Units]]/Table1[[#This Row],[Total Unit]]</f>
        <v>2.8500000000000001E-2</v>
      </c>
      <c r="G186" s="2" t="str">
        <f>_xlfn.SWITCH(TRUE(),ROUND(Table1[[#This Row],[Defect Rate]],2)&gt;=4%,"High Risk",ROUND(Table1[[#This Row],[Defect Rate]],2)&gt;=3%,"Medium Risk","Low Risk")</f>
        <v>Medium Risk</v>
      </c>
      <c r="H186" s="2" t="str">
        <f>_xlfn.SWITCH(TRUE(),Table1[[#This Row],[Shipping Cost ($)]]&gt;=700,"Expensive",Table1[[#This Row],[Shipping Cost ($)]]&gt;=500,"Economical","Low Cost")</f>
        <v>Low Cost</v>
      </c>
      <c r="I186" s="1" t="s">
        <v>24</v>
      </c>
    </row>
    <row r="187" spans="1:9" x14ac:dyDescent="0.3">
      <c r="A187" s="1" t="s">
        <v>210</v>
      </c>
      <c r="B187" s="2">
        <v>58</v>
      </c>
      <c r="C187" s="1" t="s">
        <v>16</v>
      </c>
      <c r="D187" s="2">
        <v>2000</v>
      </c>
      <c r="E187" s="2">
        <v>150</v>
      </c>
      <c r="F187" s="3">
        <f>Table1[[#This Row],[Defective Units]]/Table1[[#This Row],[Total Unit]]</f>
        <v>2.9000000000000001E-2</v>
      </c>
      <c r="G187" s="2" t="str">
        <f>_xlfn.SWITCH(TRUE(),ROUND(Table1[[#This Row],[Defect Rate]],2)&gt;=4%,"High Risk",ROUND(Table1[[#This Row],[Defect Rate]],2)&gt;=3%,"Medium Risk","Low Risk")</f>
        <v>Medium Risk</v>
      </c>
      <c r="H187" s="2" t="str">
        <f>_xlfn.SWITCH(TRUE(),Table1[[#This Row],[Shipping Cost ($)]]&gt;=700,"Expensive",Table1[[#This Row],[Shipping Cost ($)]]&gt;=500,"Economical","Low Cost")</f>
        <v>Low Cost</v>
      </c>
      <c r="I187" s="1" t="s">
        <v>25</v>
      </c>
    </row>
    <row r="188" spans="1:9" x14ac:dyDescent="0.3">
      <c r="A188" s="1" t="s">
        <v>211</v>
      </c>
      <c r="B188" s="2">
        <v>59</v>
      </c>
      <c r="C188" s="1" t="s">
        <v>17</v>
      </c>
      <c r="D188" s="2">
        <v>2000</v>
      </c>
      <c r="E188" s="2">
        <v>720</v>
      </c>
      <c r="F188" s="3">
        <f>Table1[[#This Row],[Defective Units]]/Table1[[#This Row],[Total Unit]]</f>
        <v>2.9499999999999998E-2</v>
      </c>
      <c r="G188" s="2" t="str">
        <f>_xlfn.SWITCH(TRUE(),ROUND(Table1[[#This Row],[Defect Rate]],2)&gt;=4%,"High Risk",ROUND(Table1[[#This Row],[Defect Rate]],2)&gt;=3%,"Medium Risk","Low Risk")</f>
        <v>Medium Risk</v>
      </c>
      <c r="H188" s="2" t="str">
        <f>_xlfn.SWITCH(TRUE(),Table1[[#This Row],[Shipping Cost ($)]]&gt;=700,"Expensive",Table1[[#This Row],[Shipping Cost ($)]]&gt;=500,"Economical","Low Cost")</f>
        <v>Expensive</v>
      </c>
      <c r="I188" s="1" t="s">
        <v>24</v>
      </c>
    </row>
    <row r="189" spans="1:9" x14ac:dyDescent="0.3">
      <c r="A189" s="1" t="s">
        <v>212</v>
      </c>
      <c r="B189" s="2">
        <v>60</v>
      </c>
      <c r="C189" s="2" t="s">
        <v>20</v>
      </c>
      <c r="D189" s="2">
        <v>2000</v>
      </c>
      <c r="E189" s="2">
        <v>880</v>
      </c>
      <c r="F189" s="3">
        <f>Table1[[#This Row],[Defective Units]]/Table1[[#This Row],[Total Unit]]</f>
        <v>0.03</v>
      </c>
      <c r="G189" s="2" t="str">
        <f>_xlfn.SWITCH(TRUE(),ROUND(Table1[[#This Row],[Defect Rate]],2)&gt;=4%,"High Risk",ROUND(Table1[[#This Row],[Defect Rate]],2)&gt;=3%,"Medium Risk","Low Risk")</f>
        <v>Medium Risk</v>
      </c>
      <c r="H189" s="2" t="str">
        <f>_xlfn.SWITCH(TRUE(),Table1[[#This Row],[Shipping Cost ($)]]&gt;=700,"Expensive",Table1[[#This Row],[Shipping Cost ($)]]&gt;=500,"Economical","Low Cost")</f>
        <v>Expensive</v>
      </c>
      <c r="I189" s="1" t="s">
        <v>25</v>
      </c>
    </row>
    <row r="190" spans="1:9" x14ac:dyDescent="0.3">
      <c r="A190" s="1" t="s">
        <v>213</v>
      </c>
      <c r="B190" s="2">
        <v>61</v>
      </c>
      <c r="C190" s="2" t="s">
        <v>18</v>
      </c>
      <c r="D190" s="2">
        <v>2000</v>
      </c>
      <c r="E190" s="2">
        <v>105</v>
      </c>
      <c r="F190" s="3">
        <f>Table1[[#This Row],[Defective Units]]/Table1[[#This Row],[Total Unit]]</f>
        <v>3.0499999999999999E-2</v>
      </c>
      <c r="G190" s="2" t="str">
        <f>_xlfn.SWITCH(TRUE(),ROUND(Table1[[#This Row],[Defect Rate]],2)&gt;=4%,"High Risk",ROUND(Table1[[#This Row],[Defect Rate]],2)&gt;=3%,"Medium Risk","Low Risk")</f>
        <v>Medium Risk</v>
      </c>
      <c r="H190" s="2" t="str">
        <f>_xlfn.SWITCH(TRUE(),Table1[[#This Row],[Shipping Cost ($)]]&gt;=700,"Expensive",Table1[[#This Row],[Shipping Cost ($)]]&gt;=500,"Economical","Low Cost")</f>
        <v>Low Cost</v>
      </c>
      <c r="I190" s="1" t="s">
        <v>24</v>
      </c>
    </row>
    <row r="191" spans="1:9" x14ac:dyDescent="0.3">
      <c r="A191" s="1" t="s">
        <v>214</v>
      </c>
      <c r="B191" s="2">
        <v>62</v>
      </c>
      <c r="C191" s="2" t="s">
        <v>19</v>
      </c>
      <c r="D191" s="2">
        <v>2000</v>
      </c>
      <c r="E191" s="2">
        <v>550</v>
      </c>
      <c r="F191" s="3">
        <f>Table1[[#This Row],[Defective Units]]/Table1[[#This Row],[Total Unit]]</f>
        <v>3.1E-2</v>
      </c>
      <c r="G191" s="2" t="str">
        <f>_xlfn.SWITCH(TRUE(),ROUND(Table1[[#This Row],[Defect Rate]],2)&gt;=4%,"High Risk",ROUND(Table1[[#This Row],[Defect Rate]],2)&gt;=3%,"Medium Risk","Low Risk")</f>
        <v>Medium Risk</v>
      </c>
      <c r="H191" s="2" t="str">
        <f>_xlfn.SWITCH(TRUE(),Table1[[#This Row],[Shipping Cost ($)]]&gt;=700,"Expensive",Table1[[#This Row],[Shipping Cost ($)]]&gt;=500,"Economical","Low Cost")</f>
        <v>Economical</v>
      </c>
      <c r="I191" s="1" t="s">
        <v>25</v>
      </c>
    </row>
    <row r="192" spans="1:9" x14ac:dyDescent="0.3">
      <c r="A192" s="1" t="s">
        <v>215</v>
      </c>
      <c r="B192" s="2">
        <v>63</v>
      </c>
      <c r="C192" s="2" t="s">
        <v>21</v>
      </c>
      <c r="D192" s="2">
        <v>2000</v>
      </c>
      <c r="E192" s="2">
        <v>145</v>
      </c>
      <c r="F192" s="3">
        <f>Table1[[#This Row],[Defective Units]]/Table1[[#This Row],[Total Unit]]</f>
        <v>3.15E-2</v>
      </c>
      <c r="G192" s="2" t="str">
        <f>_xlfn.SWITCH(TRUE(),ROUND(Table1[[#This Row],[Defect Rate]],2)&gt;=4%,"High Risk",ROUND(Table1[[#This Row],[Defect Rate]],2)&gt;=3%,"Medium Risk","Low Risk")</f>
        <v>Medium Risk</v>
      </c>
      <c r="H192" s="2" t="str">
        <f>_xlfn.SWITCH(TRUE(),Table1[[#This Row],[Shipping Cost ($)]]&gt;=700,"Expensive",Table1[[#This Row],[Shipping Cost ($)]]&gt;=500,"Economical","Low Cost")</f>
        <v>Low Cost</v>
      </c>
      <c r="I192" s="1" t="s">
        <v>24</v>
      </c>
    </row>
    <row r="193" spans="1:9" x14ac:dyDescent="0.3">
      <c r="A193" s="1" t="s">
        <v>216</v>
      </c>
      <c r="B193" s="2">
        <v>64</v>
      </c>
      <c r="C193" s="1" t="s">
        <v>13</v>
      </c>
      <c r="D193" s="2">
        <v>2000</v>
      </c>
      <c r="E193" s="2">
        <v>680</v>
      </c>
      <c r="F193" s="3">
        <f>Table1[[#This Row],[Defective Units]]/Table1[[#This Row],[Total Unit]]</f>
        <v>3.2000000000000001E-2</v>
      </c>
      <c r="G193" s="2" t="str">
        <f>_xlfn.SWITCH(TRUE(),ROUND(Table1[[#This Row],[Defect Rate]],2)&gt;=4%,"High Risk",ROUND(Table1[[#This Row],[Defect Rate]],2)&gt;=3%,"Medium Risk","Low Risk")</f>
        <v>Medium Risk</v>
      </c>
      <c r="H193" s="2" t="str">
        <f>_xlfn.SWITCH(TRUE(),Table1[[#This Row],[Shipping Cost ($)]]&gt;=700,"Expensive",Table1[[#This Row],[Shipping Cost ($)]]&gt;=500,"Economical","Low Cost")</f>
        <v>Economical</v>
      </c>
      <c r="I193" s="1" t="s">
        <v>25</v>
      </c>
    </row>
    <row r="194" spans="1:9" x14ac:dyDescent="0.3">
      <c r="A194" s="1" t="s">
        <v>217</v>
      </c>
      <c r="B194" s="2">
        <v>65</v>
      </c>
      <c r="C194" s="1" t="s">
        <v>14</v>
      </c>
      <c r="D194" s="2">
        <v>2000</v>
      </c>
      <c r="E194" s="2">
        <v>250</v>
      </c>
      <c r="F194" s="3">
        <f>Table1[[#This Row],[Defective Units]]/Table1[[#This Row],[Total Unit]]</f>
        <v>3.2500000000000001E-2</v>
      </c>
      <c r="G194" s="2" t="str">
        <f>_xlfn.SWITCH(TRUE(),ROUND(Table1[[#This Row],[Defect Rate]],2)&gt;=4%,"High Risk",ROUND(Table1[[#This Row],[Defect Rate]],2)&gt;=3%,"Medium Risk","Low Risk")</f>
        <v>Medium Risk</v>
      </c>
      <c r="H194" s="2" t="str">
        <f>_xlfn.SWITCH(TRUE(),Table1[[#This Row],[Shipping Cost ($)]]&gt;=700,"Expensive",Table1[[#This Row],[Shipping Cost ($)]]&gt;=500,"Economical","Low Cost")</f>
        <v>Low Cost</v>
      </c>
      <c r="I194" s="1" t="s">
        <v>24</v>
      </c>
    </row>
    <row r="195" spans="1:9" x14ac:dyDescent="0.3">
      <c r="A195" s="1" t="s">
        <v>218</v>
      </c>
      <c r="B195" s="2">
        <v>66</v>
      </c>
      <c r="C195" s="1" t="s">
        <v>15</v>
      </c>
      <c r="D195" s="2">
        <v>2000</v>
      </c>
      <c r="E195" s="2">
        <v>890</v>
      </c>
      <c r="F195" s="3">
        <f>Table1[[#This Row],[Defective Units]]/Table1[[#This Row],[Total Unit]]</f>
        <v>3.3000000000000002E-2</v>
      </c>
      <c r="G195" s="2" t="str">
        <f>_xlfn.SWITCH(TRUE(),ROUND(Table1[[#This Row],[Defect Rate]],2)&gt;=4%,"High Risk",ROUND(Table1[[#This Row],[Defect Rate]],2)&gt;=3%,"Medium Risk","Low Risk")</f>
        <v>Medium Risk</v>
      </c>
      <c r="H195" s="2" t="str">
        <f>_xlfn.SWITCH(TRUE(),Table1[[#This Row],[Shipping Cost ($)]]&gt;=700,"Expensive",Table1[[#This Row],[Shipping Cost ($)]]&gt;=500,"Economical","Low Cost")</f>
        <v>Expensive</v>
      </c>
      <c r="I195" s="1" t="s">
        <v>25</v>
      </c>
    </row>
    <row r="196" spans="1:9" x14ac:dyDescent="0.3">
      <c r="A196" s="1" t="s">
        <v>219</v>
      </c>
      <c r="B196" s="2">
        <v>67</v>
      </c>
      <c r="C196" s="1" t="s">
        <v>16</v>
      </c>
      <c r="D196" s="2">
        <v>2000</v>
      </c>
      <c r="E196" s="2">
        <v>340</v>
      </c>
      <c r="F196" s="3">
        <f>Table1[[#This Row],[Defective Units]]/Table1[[#This Row],[Total Unit]]</f>
        <v>3.3500000000000002E-2</v>
      </c>
      <c r="G196" s="2" t="str">
        <f>_xlfn.SWITCH(TRUE(),ROUND(Table1[[#This Row],[Defect Rate]],2)&gt;=4%,"High Risk",ROUND(Table1[[#This Row],[Defect Rate]],2)&gt;=3%,"Medium Risk","Low Risk")</f>
        <v>Medium Risk</v>
      </c>
      <c r="H196" s="2" t="str">
        <f>_xlfn.SWITCH(TRUE(),Table1[[#This Row],[Shipping Cost ($)]]&gt;=700,"Expensive",Table1[[#This Row],[Shipping Cost ($)]]&gt;=500,"Economical","Low Cost")</f>
        <v>Low Cost</v>
      </c>
      <c r="I196" s="1" t="s">
        <v>24</v>
      </c>
    </row>
    <row r="197" spans="1:9" x14ac:dyDescent="0.3">
      <c r="A197" s="1" t="s">
        <v>220</v>
      </c>
      <c r="B197" s="2">
        <v>68</v>
      </c>
      <c r="C197" s="1" t="s">
        <v>17</v>
      </c>
      <c r="D197" s="2">
        <v>2000</v>
      </c>
      <c r="E197" s="2">
        <v>275</v>
      </c>
      <c r="F197" s="3">
        <f>Table1[[#This Row],[Defective Units]]/Table1[[#This Row],[Total Unit]]</f>
        <v>3.4000000000000002E-2</v>
      </c>
      <c r="G197" s="2" t="str">
        <f>_xlfn.SWITCH(TRUE(),ROUND(Table1[[#This Row],[Defect Rate]],2)&gt;=4%,"High Risk",ROUND(Table1[[#This Row],[Defect Rate]],2)&gt;=3%,"Medium Risk","Low Risk")</f>
        <v>Medium Risk</v>
      </c>
      <c r="H197" s="2" t="str">
        <f>_xlfn.SWITCH(TRUE(),Table1[[#This Row],[Shipping Cost ($)]]&gt;=700,"Expensive",Table1[[#This Row],[Shipping Cost ($)]]&gt;=500,"Economical","Low Cost")</f>
        <v>Low Cost</v>
      </c>
      <c r="I197" s="1" t="s">
        <v>25</v>
      </c>
    </row>
    <row r="198" spans="1:9" x14ac:dyDescent="0.3">
      <c r="A198" s="1" t="s">
        <v>221</v>
      </c>
      <c r="B198" s="2">
        <v>69</v>
      </c>
      <c r="C198" s="2" t="s">
        <v>20</v>
      </c>
      <c r="D198" s="2">
        <v>2000</v>
      </c>
      <c r="E198" s="2">
        <v>600</v>
      </c>
      <c r="F198" s="3">
        <f>Table1[[#This Row],[Defective Units]]/Table1[[#This Row],[Total Unit]]</f>
        <v>3.4500000000000003E-2</v>
      </c>
      <c r="G198" s="2" t="str">
        <f>_xlfn.SWITCH(TRUE(),ROUND(Table1[[#This Row],[Defect Rate]],2)&gt;=4%,"High Risk",ROUND(Table1[[#This Row],[Defect Rate]],2)&gt;=3%,"Medium Risk","Low Risk")</f>
        <v>Medium Risk</v>
      </c>
      <c r="H198" s="2" t="str">
        <f>_xlfn.SWITCH(TRUE(),Table1[[#This Row],[Shipping Cost ($)]]&gt;=700,"Expensive",Table1[[#This Row],[Shipping Cost ($)]]&gt;=500,"Economical","Low Cost")</f>
        <v>Economical</v>
      </c>
      <c r="I198" s="1" t="s">
        <v>24</v>
      </c>
    </row>
    <row r="199" spans="1:9" x14ac:dyDescent="0.3">
      <c r="A199" s="1" t="s">
        <v>222</v>
      </c>
      <c r="B199" s="2">
        <v>47</v>
      </c>
      <c r="C199" s="2" t="s">
        <v>18</v>
      </c>
      <c r="D199" s="2">
        <v>2000</v>
      </c>
      <c r="E199" s="2">
        <v>115</v>
      </c>
      <c r="F199" s="3">
        <f>Table1[[#This Row],[Defective Units]]/Table1[[#This Row],[Total Unit]]</f>
        <v>2.35E-2</v>
      </c>
      <c r="G199" s="2" t="str">
        <f>_xlfn.SWITCH(TRUE(),ROUND(Table1[[#This Row],[Defect Rate]],2)&gt;=4%,"High Risk",ROUND(Table1[[#This Row],[Defect Rate]],2)&gt;=3%,"Medium Risk","Low Risk")</f>
        <v>Low Risk</v>
      </c>
      <c r="H199" s="2" t="str">
        <f>_xlfn.SWITCH(TRUE(),Table1[[#This Row],[Shipping Cost ($)]]&gt;=700,"Expensive",Table1[[#This Row],[Shipping Cost ($)]]&gt;=500,"Economical","Low Cost")</f>
        <v>Low Cost</v>
      </c>
      <c r="I199" s="1" t="s">
        <v>25</v>
      </c>
    </row>
    <row r="200" spans="1:9" x14ac:dyDescent="0.3">
      <c r="A200" s="1" t="s">
        <v>223</v>
      </c>
      <c r="B200" s="2">
        <v>48</v>
      </c>
      <c r="C200" s="2" t="s">
        <v>19</v>
      </c>
      <c r="D200" s="2">
        <v>2000</v>
      </c>
      <c r="E200" s="2">
        <v>920</v>
      </c>
      <c r="F200" s="3">
        <f>Table1[[#This Row],[Defective Units]]/Table1[[#This Row],[Total Unit]]</f>
        <v>2.4E-2</v>
      </c>
      <c r="G200" s="2" t="str">
        <f>_xlfn.SWITCH(TRUE(),ROUND(Table1[[#This Row],[Defect Rate]],2)&gt;=4%,"High Risk",ROUND(Table1[[#This Row],[Defect Rate]],2)&gt;=3%,"Medium Risk","Low Risk")</f>
        <v>Low Risk</v>
      </c>
      <c r="H200" s="2" t="str">
        <f>_xlfn.SWITCH(TRUE(),Table1[[#This Row],[Shipping Cost ($)]]&gt;=700,"Expensive",Table1[[#This Row],[Shipping Cost ($)]]&gt;=500,"Economical","Low Cost")</f>
        <v>Expensive</v>
      </c>
      <c r="I200" s="1" t="s">
        <v>24</v>
      </c>
    </row>
    <row r="201" spans="1:9" x14ac:dyDescent="0.3">
      <c r="A201" s="1" t="s">
        <v>224</v>
      </c>
      <c r="B201" s="2">
        <v>49</v>
      </c>
      <c r="C201" s="2" t="s">
        <v>21</v>
      </c>
      <c r="D201" s="2">
        <v>2000</v>
      </c>
      <c r="E201" s="2">
        <v>190</v>
      </c>
      <c r="F201" s="3">
        <f>Table1[[#This Row],[Defective Units]]/Table1[[#This Row],[Total Unit]]</f>
        <v>2.4500000000000001E-2</v>
      </c>
      <c r="G201" s="2" t="str">
        <f>_xlfn.SWITCH(TRUE(),ROUND(Table1[[#This Row],[Defect Rate]],2)&gt;=4%,"High Risk",ROUND(Table1[[#This Row],[Defect Rate]],2)&gt;=3%,"Medium Risk","Low Risk")</f>
        <v>Low Risk</v>
      </c>
      <c r="H201" s="2" t="str">
        <f>_xlfn.SWITCH(TRUE(),Table1[[#This Row],[Shipping Cost ($)]]&gt;=700,"Expensive",Table1[[#This Row],[Shipping Cost ($)]]&gt;=500,"Economical","Low Cost")</f>
        <v>Low Cost</v>
      </c>
      <c r="I201" s="1" t="s">
        <v>25</v>
      </c>
    </row>
    <row r="202" spans="1:9" x14ac:dyDescent="0.3">
      <c r="A202" s="1" t="s">
        <v>225</v>
      </c>
      <c r="B202" s="2">
        <v>50</v>
      </c>
      <c r="C202" s="1" t="s">
        <v>13</v>
      </c>
      <c r="D202" s="2">
        <v>2000</v>
      </c>
      <c r="E202" s="2">
        <v>290</v>
      </c>
      <c r="F202" s="3">
        <f>Table1[[#This Row],[Defective Units]]/Table1[[#This Row],[Total Unit]]</f>
        <v>2.5000000000000001E-2</v>
      </c>
      <c r="G202" s="2" t="str">
        <f>_xlfn.SWITCH(TRUE(),ROUND(Table1[[#This Row],[Defect Rate]],2)&gt;=4%,"High Risk",ROUND(Table1[[#This Row],[Defect Rate]],2)&gt;=3%,"Medium Risk","Low Risk")</f>
        <v>Medium Risk</v>
      </c>
      <c r="H202" s="2" t="str">
        <f>_xlfn.SWITCH(TRUE(),Table1[[#This Row],[Shipping Cost ($)]]&gt;=700,"Expensive",Table1[[#This Row],[Shipping Cost ($)]]&gt;=500,"Economical","Low Cost")</f>
        <v>Low Cost</v>
      </c>
      <c r="I202" s="1" t="s">
        <v>24</v>
      </c>
    </row>
    <row r="203" spans="1:9" x14ac:dyDescent="0.3">
      <c r="A203" s="1" t="s">
        <v>226</v>
      </c>
      <c r="B203" s="2">
        <v>41</v>
      </c>
      <c r="C203" s="1" t="s">
        <v>14</v>
      </c>
      <c r="D203" s="2">
        <v>2000</v>
      </c>
      <c r="E203" s="2">
        <v>610</v>
      </c>
      <c r="F203" s="3">
        <f>Table1[[#This Row],[Defective Units]]/Table1[[#This Row],[Total Unit]]</f>
        <v>2.0500000000000001E-2</v>
      </c>
      <c r="G203" s="2" t="str">
        <f>_xlfn.SWITCH(TRUE(),ROUND(Table1[[#This Row],[Defect Rate]],2)&gt;=4%,"High Risk",ROUND(Table1[[#This Row],[Defect Rate]],2)&gt;=3%,"Medium Risk","Low Risk")</f>
        <v>Low Risk</v>
      </c>
      <c r="H203" s="2" t="str">
        <f>_xlfn.SWITCH(TRUE(),Table1[[#This Row],[Shipping Cost ($)]]&gt;=700,"Expensive",Table1[[#This Row],[Shipping Cost ($)]]&gt;=500,"Economical","Low Cost")</f>
        <v>Economical</v>
      </c>
      <c r="I203" s="1" t="s">
        <v>25</v>
      </c>
    </row>
  </sheetData>
  <mergeCells count="1">
    <mergeCell ref="E1:F2"/>
  </mergeCells>
  <phoneticPr fontId="19" type="noConversion"/>
  <conditionalFormatting sqref="A3:A202">
    <cfRule type="expression" dxfId="18" priority="18">
      <formula>$D4=$Q$9</formula>
    </cfRule>
  </conditionalFormatting>
  <conditionalFormatting sqref="A3:A203">
    <cfRule type="expression" dxfId="17" priority="19">
      <formula>$D$7=$Q$9</formula>
    </cfRule>
    <cfRule type="expression" priority="20">
      <formula>A$7=$Q$9</formula>
    </cfRule>
  </conditionalFormatting>
  <conditionalFormatting sqref="A4:A203">
    <cfRule type="expression" dxfId="16" priority="17">
      <formula>$A4=$N$4</formula>
    </cfRule>
  </conditionalFormatting>
  <conditionalFormatting sqref="A203">
    <cfRule type="expression" dxfId="15" priority="90">
      <formula>#REF!=$Q$9</formula>
    </cfRule>
  </conditionalFormatting>
  <conditionalFormatting sqref="A4:I203">
    <cfRule type="expression" dxfId="14" priority="9">
      <formula>$A4=$K$4</formula>
    </cfRule>
  </conditionalFormatting>
  <conditionalFormatting sqref="C4:C8 I4:I203 C13:C17 C22:C26 C31:C35 C40:C44 C49:C53 C58:C62 C67:C71 C76:C80 C85:C89 C94:C98 C103:C107 C112:C116 C121:C125 C130:C134 C139:C143 C148:C152 C157:C161 C166:C170 C175:C179 C184:C188 C193:C197 C202:C203">
    <cfRule type="expression" dxfId="13" priority="28">
      <formula>#REF!=$I$4</formula>
    </cfRule>
  </conditionalFormatting>
  <conditionalFormatting sqref="C203 I203">
    <cfRule type="expression" dxfId="12" priority="86">
      <formula>#REF!=$M$9</formula>
    </cfRule>
  </conditionalFormatting>
  <conditionalFormatting sqref="G3:G203">
    <cfRule type="containsText" dxfId="11" priority="6" operator="containsText" text="Low Risk">
      <formula>NOT(ISERROR(SEARCH("Low Risk",G3)))</formula>
    </cfRule>
    <cfRule type="containsText" dxfId="10" priority="7" operator="containsText" text="Medium Risk">
      <formula>NOT(ISERROR(SEARCH("Medium Risk",G3)))</formula>
    </cfRule>
    <cfRule type="containsText" dxfId="9" priority="8" operator="containsText" text="High Risk">
      <formula>NOT(ISERROR(SEARCH("High Risk",G3)))</formula>
    </cfRule>
  </conditionalFormatting>
  <conditionalFormatting sqref="C4:C8 I3:I202 C13:C17 C22:C26 C31:C35 C40:C44 C49:C53 C58:C62 C67:C71 C76:C80 C85:C89 C94:C98 C103:C107 C112:C116 C121:C125 C130:C134 C139:C143 C148:C152 C157:C161 C166:C170 C175:C179 C184:C188 C193:C197 C202">
    <cfRule type="expression" dxfId="8" priority="29">
      <formula>$A4=$M$9</formula>
    </cfRule>
  </conditionalFormatting>
  <conditionalFormatting sqref="I3:I203 C4:C8 C13:C17 C22:C26 C31:C35 C40:C44 C49:C53 C58:C62 C67:C71 C76:C80 C85:C89 C94:C98 C103:C107 C112:C116 C121:C125 C130:C134 C139:C143 C148:C152 C157:C161 C166:C170 C175:C179 C184:C188 C193:C197 C202:C203">
    <cfRule type="expression" dxfId="7" priority="83">
      <formula>$A$7=$M$9</formula>
    </cfRule>
    <cfRule type="expression" priority="84">
      <formula>C$7=$M$9</formula>
    </cfRule>
  </conditionalFormatting>
  <conditionalFormatting sqref="K3:K4">
    <cfRule type="expression" dxfId="6" priority="11">
      <formula>$D4=$Q$9</formula>
    </cfRule>
    <cfRule type="expression" dxfId="5" priority="12">
      <formula>$D$7=$Q$9</formula>
    </cfRule>
    <cfRule type="expression" priority="13">
      <formula>K$7=$Q$9</formula>
    </cfRule>
  </conditionalFormatting>
  <conditionalFormatting sqref="K4">
    <cfRule type="expression" dxfId="4" priority="10">
      <formula>$A4=$N$4</formula>
    </cfRule>
  </conditionalFormatting>
  <conditionalFormatting sqref="K13:K21">
    <cfRule type="expression" dxfId="3" priority="1">
      <formula>$A13=$K$4</formula>
    </cfRule>
  </conditionalFormatting>
  <conditionalFormatting sqref="K13:K17">
    <cfRule type="expression" dxfId="2" priority="2">
      <formula>#REF!=$I$4</formula>
    </cfRule>
  </conditionalFormatting>
  <conditionalFormatting sqref="K13:K17">
    <cfRule type="expression" dxfId="1" priority="3">
      <formula>$A14=$M$9</formula>
    </cfRule>
  </conditionalFormatting>
  <conditionalFormatting sqref="K13:K17">
    <cfRule type="expression" dxfId="0" priority="4">
      <formula>$A$7=$M$9</formula>
    </cfRule>
    <cfRule type="expression" priority="5">
      <formula>K$7=$M$9</formula>
    </cfRule>
  </conditionalFormatting>
  <dataValidations disablePrompts="1" count="1">
    <dataValidation type="list" allowBlank="1" showInputMessage="1" showErrorMessage="1" sqref="K4" xr:uid="{B1F62EFE-D240-4A6E-85F0-C66218978BDB}">
      <formula1>$A$3:$A$203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2026-01-30T14:01:51Z</cp:lastPrinted>
  <dcterms:created xsi:type="dcterms:W3CDTF">2026-01-26T05:14:02Z</dcterms:created>
  <dcterms:modified xsi:type="dcterms:W3CDTF">2026-01-31T12:42:48Z</dcterms:modified>
</cp:coreProperties>
</file>